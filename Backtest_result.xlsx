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.pagalies\Desktop\"/>
    </mc:Choice>
  </mc:AlternateContent>
  <xr:revisionPtr revIDLastSave="0" documentId="8_{14E50A3D-4EF2-49FB-A976-AEE60849B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de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15" i="1"/>
  <c r="H14" i="1"/>
  <c r="M14" i="1"/>
  <c r="G150" i="1"/>
  <c r="H150" i="1" s="1"/>
  <c r="J150" i="1" a="1"/>
  <c r="J150" i="1"/>
  <c r="G151" i="1"/>
  <c r="H151" i="1" s="1"/>
  <c r="J151" i="1" a="1"/>
  <c r="J151" i="1"/>
  <c r="G152" i="1"/>
  <c r="H152" i="1" s="1"/>
  <c r="J152" i="1" a="1"/>
  <c r="J152" i="1"/>
  <c r="G153" i="1"/>
  <c r="H153" i="1" s="1"/>
  <c r="J153" i="1" a="1"/>
  <c r="J153" i="1"/>
  <c r="G155" i="1"/>
  <c r="H155" i="1" s="1"/>
  <c r="J155" i="1" a="1"/>
  <c r="J155" i="1"/>
  <c r="G157" i="1"/>
  <c r="H157" i="1" s="1"/>
  <c r="J157" i="1" a="1"/>
  <c r="J157" i="1"/>
  <c r="G158" i="1"/>
  <c r="H158" i="1" s="1"/>
  <c r="J158" i="1" a="1"/>
  <c r="J158" i="1"/>
  <c r="G161" i="1"/>
  <c r="H161" i="1" s="1"/>
  <c r="J161" i="1" a="1"/>
  <c r="J161" i="1"/>
  <c r="G163" i="1"/>
  <c r="H163" i="1" s="1"/>
  <c r="J163" i="1" a="1"/>
  <c r="J163" i="1"/>
  <c r="G165" i="1"/>
  <c r="H165" i="1" s="1"/>
  <c r="J165" i="1" a="1"/>
  <c r="J165" i="1"/>
  <c r="G168" i="1"/>
  <c r="H168" i="1" s="1"/>
  <c r="J168" i="1" a="1"/>
  <c r="J168" i="1"/>
  <c r="G169" i="1"/>
  <c r="H169" i="1" s="1"/>
  <c r="J169" i="1" a="1"/>
  <c r="J169" i="1"/>
  <c r="G171" i="1"/>
  <c r="H171" i="1" s="1"/>
  <c r="J171" i="1" a="1"/>
  <c r="J171" i="1"/>
  <c r="G172" i="1"/>
  <c r="H172" i="1" s="1"/>
  <c r="J172" i="1" a="1"/>
  <c r="J172" i="1"/>
  <c r="G175" i="1"/>
  <c r="H175" i="1" s="1"/>
  <c r="J175" i="1" a="1"/>
  <c r="J175" i="1"/>
  <c r="G177" i="1"/>
  <c r="H177" i="1" s="1"/>
  <c r="J177" i="1" a="1"/>
  <c r="J177" i="1"/>
  <c r="G180" i="1"/>
  <c r="H180" i="1" s="1"/>
  <c r="J180" i="1" a="1"/>
  <c r="J180" i="1"/>
  <c r="G181" i="1"/>
  <c r="H181" i="1" s="1"/>
  <c r="J181" i="1" a="1"/>
  <c r="J181" i="1"/>
  <c r="G183" i="1"/>
  <c r="H183" i="1" s="1"/>
  <c r="J183" i="1" a="1"/>
  <c r="J183" i="1"/>
  <c r="G185" i="1"/>
  <c r="H185" i="1" s="1"/>
  <c r="J185" i="1" a="1"/>
  <c r="J185" i="1"/>
  <c r="G186" i="1"/>
  <c r="H186" i="1" s="1"/>
  <c r="J186" i="1" a="1"/>
  <c r="J186" i="1"/>
  <c r="G187" i="1"/>
  <c r="H187" i="1" s="1"/>
  <c r="J187" i="1" a="1"/>
  <c r="J187" i="1"/>
  <c r="G188" i="1"/>
  <c r="H188" i="1" s="1"/>
  <c r="J188" i="1" a="1"/>
  <c r="J188" i="1"/>
  <c r="G193" i="1"/>
  <c r="H193" i="1" s="1"/>
  <c r="J193" i="1" a="1"/>
  <c r="J193" i="1"/>
  <c r="G195" i="1"/>
  <c r="H195" i="1" s="1"/>
  <c r="J195" i="1" a="1"/>
  <c r="J195" i="1"/>
  <c r="G198" i="1"/>
  <c r="H198" i="1" s="1"/>
  <c r="J198" i="1" a="1"/>
  <c r="J198" i="1"/>
  <c r="G199" i="1"/>
  <c r="H199" i="1" s="1"/>
  <c r="J199" i="1" a="1"/>
  <c r="J199" i="1"/>
  <c r="G201" i="1"/>
  <c r="H201" i="1" s="1"/>
  <c r="J201" i="1" a="1"/>
  <c r="J201" i="1"/>
  <c r="G202" i="1"/>
  <c r="H202" i="1" s="1"/>
  <c r="J202" i="1" a="1"/>
  <c r="J202" i="1"/>
  <c r="G205" i="1"/>
  <c r="H205" i="1" s="1"/>
  <c r="J205" i="1" a="1"/>
  <c r="J205" i="1"/>
  <c r="G208" i="1"/>
  <c r="H208" i="1" s="1"/>
  <c r="J208" i="1" a="1"/>
  <c r="J208" i="1"/>
  <c r="G209" i="1"/>
  <c r="H209" i="1" s="1"/>
  <c r="J209" i="1" a="1"/>
  <c r="J209" i="1"/>
  <c r="G212" i="1"/>
  <c r="H212" i="1" s="1"/>
  <c r="J212" i="1" a="1"/>
  <c r="J212" i="1"/>
  <c r="G213" i="1"/>
  <c r="H213" i="1" s="1"/>
  <c r="J213" i="1" a="1"/>
  <c r="J213" i="1"/>
  <c r="G214" i="1"/>
  <c r="H214" i="1" s="1"/>
  <c r="J214" i="1" a="1"/>
  <c r="J214" i="1"/>
  <c r="G217" i="1"/>
  <c r="H217" i="1" s="1"/>
  <c r="J217" i="1" a="1"/>
  <c r="J217" i="1"/>
  <c r="G218" i="1"/>
  <c r="H218" i="1" s="1"/>
  <c r="J218" i="1" a="1"/>
  <c r="J218" i="1"/>
  <c r="G219" i="1"/>
  <c r="H219" i="1" s="1"/>
  <c r="J219" i="1" a="1"/>
  <c r="J219" i="1"/>
  <c r="G223" i="1"/>
  <c r="H223" i="1" s="1"/>
  <c r="J223" i="1" a="1"/>
  <c r="J223" i="1"/>
  <c r="G227" i="1"/>
  <c r="H227" i="1" s="1"/>
  <c r="J227" i="1" a="1"/>
  <c r="J227" i="1"/>
  <c r="G228" i="1"/>
  <c r="H228" i="1" s="1"/>
  <c r="J228" i="1" a="1"/>
  <c r="J228" i="1"/>
  <c r="G229" i="1"/>
  <c r="H229" i="1" s="1"/>
  <c r="J229" i="1" a="1"/>
  <c r="J229" i="1"/>
  <c r="G231" i="1"/>
  <c r="H231" i="1" s="1"/>
  <c r="J231" i="1" a="1"/>
  <c r="J231" i="1"/>
  <c r="G233" i="1"/>
  <c r="H233" i="1" s="1"/>
  <c r="J233" i="1" a="1"/>
  <c r="J233" i="1"/>
  <c r="G234" i="1"/>
  <c r="H234" i="1" s="1"/>
  <c r="J234" i="1" a="1"/>
  <c r="J234" i="1"/>
  <c r="G235" i="1"/>
  <c r="H235" i="1" s="1"/>
  <c r="J235" i="1" a="1"/>
  <c r="J235" i="1"/>
  <c r="G240" i="1"/>
  <c r="H240" i="1" s="1"/>
  <c r="J240" i="1" a="1"/>
  <c r="J240" i="1"/>
  <c r="G241" i="1"/>
  <c r="H241" i="1" s="1"/>
  <c r="J241" i="1" a="1"/>
  <c r="J241" i="1"/>
  <c r="J143" i="1" a="1"/>
  <c r="J143" i="1" s="1"/>
  <c r="G143" i="1"/>
  <c r="H143" i="1" s="1"/>
  <c r="J142" i="1" a="1"/>
  <c r="J142" i="1" s="1"/>
  <c r="G142" i="1"/>
  <c r="H142" i="1" s="1"/>
  <c r="J141" i="1" a="1"/>
  <c r="J141" i="1" s="1"/>
  <c r="G141" i="1"/>
  <c r="H141" i="1" s="1"/>
  <c r="J139" i="1" a="1"/>
  <c r="J139" i="1" s="1"/>
  <c r="G139" i="1"/>
  <c r="H139" i="1" s="1"/>
  <c r="J137" i="1" a="1"/>
  <c r="J137" i="1" s="1"/>
  <c r="G137" i="1"/>
  <c r="H137" i="1" s="1"/>
  <c r="J135" i="1" a="1"/>
  <c r="J135" i="1" s="1"/>
  <c r="G135" i="1"/>
  <c r="H135" i="1" s="1"/>
  <c r="J133" i="1" a="1"/>
  <c r="J133" i="1" s="1"/>
  <c r="G133" i="1"/>
  <c r="H133" i="1" s="1"/>
  <c r="J132" i="1" a="1"/>
  <c r="J132" i="1" s="1"/>
  <c r="G132" i="1"/>
  <c r="H132" i="1" s="1"/>
  <c r="J127" i="1" a="1"/>
  <c r="J127" i="1" s="1"/>
  <c r="G127" i="1"/>
  <c r="H127" i="1" s="1"/>
  <c r="J126" i="1" a="1"/>
  <c r="J126" i="1" s="1"/>
  <c r="G126" i="1"/>
  <c r="H126" i="1" s="1"/>
  <c r="J125" i="1" a="1"/>
  <c r="J125" i="1" s="1"/>
  <c r="G125" i="1"/>
  <c r="H125" i="1" s="1"/>
  <c r="J124" i="1" a="1"/>
  <c r="J124" i="1" s="1"/>
  <c r="G124" i="1"/>
  <c r="H124" i="1" s="1"/>
  <c r="J121" i="1" a="1"/>
  <c r="J121" i="1" s="1"/>
  <c r="G121" i="1"/>
  <c r="H121" i="1" s="1"/>
  <c r="J120" i="1" a="1"/>
  <c r="J120" i="1" s="1"/>
  <c r="G120" i="1"/>
  <c r="H120" i="1" s="1"/>
  <c r="J117" i="1" a="1"/>
  <c r="J117" i="1" s="1"/>
  <c r="G117" i="1"/>
  <c r="H117" i="1" s="1"/>
  <c r="J115" i="1" a="1"/>
  <c r="J115" i="1" s="1"/>
  <c r="G115" i="1"/>
  <c r="H115" i="1" s="1"/>
  <c r="J112" i="1" a="1"/>
  <c r="J112" i="1" s="1"/>
  <c r="G112" i="1"/>
  <c r="H112" i="1" s="1"/>
  <c r="J111" i="1" a="1"/>
  <c r="J111" i="1" s="1"/>
  <c r="G111" i="1"/>
  <c r="H111" i="1" s="1"/>
  <c r="J109" i="1" a="1"/>
  <c r="J109" i="1" s="1"/>
  <c r="G109" i="1"/>
  <c r="H109" i="1" s="1"/>
  <c r="J108" i="1" a="1"/>
  <c r="J108" i="1" s="1"/>
  <c r="G108" i="1"/>
  <c r="H108" i="1" s="1"/>
  <c r="J105" i="1" a="1"/>
  <c r="J105" i="1" s="1"/>
  <c r="G105" i="1"/>
  <c r="H105" i="1" s="1"/>
  <c r="J103" i="1" a="1"/>
  <c r="J103" i="1" s="1"/>
  <c r="G103" i="1"/>
  <c r="H103" i="1" s="1"/>
  <c r="J102" i="1" a="1"/>
  <c r="J102" i="1" s="1"/>
  <c r="G102" i="1"/>
  <c r="H102" i="1" s="1"/>
  <c r="J96" i="1" a="1"/>
  <c r="J96" i="1" s="1"/>
  <c r="G96" i="1"/>
  <c r="H96" i="1" s="1"/>
  <c r="J95" i="1" a="1"/>
  <c r="J95" i="1" s="1"/>
  <c r="G95" i="1"/>
  <c r="H95" i="1" s="1"/>
  <c r="J94" i="1" a="1"/>
  <c r="J94" i="1" s="1"/>
  <c r="G94" i="1"/>
  <c r="H94" i="1" s="1"/>
  <c r="J93" i="1" a="1"/>
  <c r="J93" i="1" s="1"/>
  <c r="G93" i="1"/>
  <c r="H93" i="1" s="1"/>
  <c r="J92" i="1" a="1"/>
  <c r="J92" i="1" s="1"/>
  <c r="G92" i="1"/>
  <c r="H92" i="1" s="1"/>
  <c r="J89" i="1" a="1"/>
  <c r="J89" i="1" s="1"/>
  <c r="G89" i="1"/>
  <c r="H89" i="1" s="1"/>
  <c r="J87" i="1" a="1"/>
  <c r="J87" i="1" s="1"/>
  <c r="G87" i="1"/>
  <c r="H87" i="1" s="1"/>
  <c r="J82" i="1" a="1"/>
  <c r="J82" i="1" s="1"/>
  <c r="G82" i="1"/>
  <c r="H82" i="1" s="1"/>
  <c r="J81" i="1" a="1"/>
  <c r="J81" i="1" s="1"/>
  <c r="G81" i="1"/>
  <c r="H81" i="1" s="1"/>
  <c r="J80" i="1" a="1"/>
  <c r="J80" i="1" s="1"/>
  <c r="G80" i="1"/>
  <c r="H80" i="1" s="1"/>
  <c r="J79" i="1" a="1"/>
  <c r="J79" i="1" s="1"/>
  <c r="G79" i="1"/>
  <c r="H79" i="1" s="1"/>
  <c r="J77" i="1" a="1"/>
  <c r="J77" i="1" s="1"/>
  <c r="G77" i="1"/>
  <c r="H77" i="1" s="1"/>
  <c r="J73" i="1" a="1"/>
  <c r="J73" i="1" s="1"/>
  <c r="G73" i="1"/>
  <c r="H73" i="1" s="1"/>
  <c r="J72" i="1" a="1"/>
  <c r="J72" i="1" s="1"/>
  <c r="G72" i="1"/>
  <c r="H72" i="1" s="1"/>
  <c r="J71" i="1" a="1"/>
  <c r="J71" i="1" s="1"/>
  <c r="G71" i="1"/>
  <c r="H71" i="1" s="1"/>
  <c r="J69" i="1" a="1"/>
  <c r="J69" i="1" s="1"/>
  <c r="G69" i="1"/>
  <c r="H69" i="1" s="1"/>
  <c r="J67" i="1" a="1"/>
  <c r="J67" i="1" s="1"/>
  <c r="G67" i="1"/>
  <c r="H67" i="1" s="1"/>
  <c r="J64" i="1" a="1"/>
  <c r="J64" i="1" s="1"/>
  <c r="G64" i="1"/>
  <c r="H64" i="1" s="1"/>
  <c r="J62" i="1" a="1"/>
  <c r="J62" i="1" s="1"/>
  <c r="G62" i="1"/>
  <c r="H62" i="1" s="1"/>
  <c r="J61" i="1" a="1"/>
  <c r="J61" i="1" s="1"/>
  <c r="G61" i="1"/>
  <c r="H61" i="1" s="1"/>
  <c r="J59" i="1" a="1"/>
  <c r="J59" i="1" s="1"/>
  <c r="G59" i="1"/>
  <c r="H59" i="1" s="1"/>
  <c r="J58" i="1" a="1"/>
  <c r="J58" i="1" s="1"/>
  <c r="G58" i="1"/>
  <c r="H58" i="1" s="1"/>
  <c r="J57" i="1" a="1"/>
  <c r="J57" i="1" s="1"/>
  <c r="G57" i="1"/>
  <c r="H57" i="1" s="1"/>
  <c r="J53" i="1" a="1"/>
  <c r="J53" i="1" s="1"/>
  <c r="G53" i="1"/>
  <c r="H53" i="1" s="1"/>
  <c r="J52" i="1" a="1"/>
  <c r="J52" i="1" s="1"/>
  <c r="G52" i="1"/>
  <c r="H52" i="1" s="1"/>
  <c r="J46" i="1" a="1"/>
  <c r="J46" i="1" s="1"/>
  <c r="G46" i="1"/>
  <c r="H46" i="1" s="1"/>
  <c r="J45" i="1" a="1"/>
  <c r="J45" i="1" s="1"/>
  <c r="G45" i="1"/>
  <c r="H45" i="1" s="1"/>
  <c r="J44" i="1" a="1"/>
  <c r="J44" i="1" s="1"/>
  <c r="G44" i="1"/>
  <c r="H44" i="1" s="1"/>
  <c r="J43" i="1" a="1"/>
  <c r="J43" i="1" s="1"/>
  <c r="G43" i="1"/>
  <c r="H43" i="1" s="1"/>
  <c r="J41" i="1" a="1"/>
  <c r="J41" i="1" s="1"/>
  <c r="G41" i="1"/>
  <c r="H41" i="1" s="1"/>
  <c r="J39" i="1" a="1"/>
  <c r="J39" i="1" s="1"/>
  <c r="G39" i="1"/>
  <c r="H39" i="1" s="1"/>
  <c r="J37" i="1" a="1"/>
  <c r="J37" i="1" s="1"/>
  <c r="G37" i="1"/>
  <c r="H37" i="1" s="1"/>
  <c r="J32" i="1" a="1"/>
  <c r="J32" i="1" s="1"/>
  <c r="G32" i="1"/>
  <c r="H32" i="1" s="1"/>
  <c r="J31" i="1" a="1"/>
  <c r="J31" i="1" s="1"/>
  <c r="G31" i="1"/>
  <c r="H31" i="1" s="1"/>
  <c r="J30" i="1" a="1"/>
  <c r="J30" i="1" s="1"/>
  <c r="G30" i="1"/>
  <c r="H30" i="1" s="1"/>
  <c r="J29" i="1" a="1"/>
  <c r="J29" i="1" s="1"/>
  <c r="G29" i="1"/>
  <c r="H29" i="1" s="1"/>
  <c r="J27" i="1" a="1"/>
  <c r="J27" i="1" s="1"/>
  <c r="G27" i="1"/>
  <c r="H27" i="1" s="1"/>
  <c r="J25" i="1" a="1"/>
  <c r="J25" i="1" s="1"/>
  <c r="G25" i="1"/>
  <c r="H25" i="1" s="1"/>
  <c r="J24" i="1" a="1"/>
  <c r="J24" i="1" s="1"/>
  <c r="G24" i="1"/>
  <c r="H24" i="1" s="1"/>
  <c r="J21" i="1" a="1"/>
  <c r="J21" i="1" s="1"/>
  <c r="G21" i="1"/>
  <c r="H21" i="1" s="1"/>
  <c r="J17" i="1" a="1"/>
  <c r="J17" i="1" s="1"/>
  <c r="G17" i="1"/>
  <c r="H17" i="1" s="1"/>
  <c r="J16" i="1" a="1"/>
  <c r="J16" i="1" s="1"/>
  <c r="G16" i="1"/>
  <c r="H16" i="1" s="1"/>
  <c r="J15" i="1" a="1"/>
  <c r="J15" i="1" s="1"/>
  <c r="G15" i="1"/>
  <c r="J13" i="1" a="1"/>
  <c r="J13" i="1" s="1"/>
  <c r="G13" i="1"/>
  <c r="J12" i="1" a="1"/>
  <c r="J12" i="1" s="1"/>
  <c r="G12" i="1"/>
  <c r="J11" i="1" a="1"/>
  <c r="J11" i="1" s="1"/>
  <c r="G11" i="1"/>
  <c r="J10" i="1" a="1"/>
  <c r="J10" i="1" s="1"/>
  <c r="G10" i="1"/>
  <c r="J9" i="1" a="1"/>
  <c r="J9" i="1" s="1"/>
  <c r="G9" i="1"/>
  <c r="J8" i="1" a="1"/>
  <c r="J8" i="1" s="1"/>
  <c r="G8" i="1"/>
  <c r="J7" i="1" a="1"/>
  <c r="J7" i="1" s="1"/>
  <c r="G7" i="1"/>
  <c r="J6" i="1" a="1"/>
  <c r="J6" i="1" s="1"/>
  <c r="G6" i="1"/>
  <c r="J5" i="1" a="1"/>
  <c r="J5" i="1" s="1"/>
  <c r="G5" i="1"/>
  <c r="J4" i="1" a="1"/>
  <c r="J4" i="1" s="1"/>
  <c r="G4" i="1"/>
  <c r="J3" i="1" a="1"/>
  <c r="J3" i="1" s="1"/>
  <c r="G3" i="1"/>
  <c r="J2" i="1" a="1"/>
  <c r="J2" i="1" s="1"/>
  <c r="G2" i="1"/>
  <c r="M2" i="1" s="1"/>
  <c r="J106" i="1" l="1" a="1"/>
  <c r="J106" i="1" s="1"/>
  <c r="G106" i="1" s="1"/>
  <c r="H106" i="1" s="1"/>
  <c r="M3" i="1"/>
  <c r="N2" i="1"/>
  <c r="J48" i="1" l="1" a="1"/>
  <c r="J48" i="1" s="1"/>
  <c r="G48" i="1" s="1"/>
  <c r="H48" i="1" s="1"/>
  <c r="M4" i="1"/>
  <c r="N3" i="1"/>
  <c r="J36" i="1" l="1" a="1"/>
  <c r="J36" i="1" s="1"/>
  <c r="G36" i="1" s="1"/>
  <c r="H36" i="1" s="1"/>
  <c r="M5" i="1"/>
  <c r="N4" i="1"/>
  <c r="J28" i="1" l="1" a="1"/>
  <c r="J28" i="1" s="1"/>
  <c r="G28" i="1" s="1"/>
  <c r="H28" i="1" s="1"/>
  <c r="M6" i="1"/>
  <c r="N5" i="1"/>
  <c r="J38" i="1" l="1" a="1"/>
  <c r="J38" i="1" s="1"/>
  <c r="G38" i="1" s="1"/>
  <c r="H38" i="1" s="1"/>
  <c r="M7" i="1"/>
  <c r="N6" i="1"/>
  <c r="J34" i="1" l="1" a="1"/>
  <c r="J34" i="1" s="1"/>
  <c r="G34" i="1" s="1"/>
  <c r="H34" i="1" s="1"/>
  <c r="M8" i="1"/>
  <c r="N7" i="1"/>
  <c r="J33" i="1" l="1" a="1"/>
  <c r="J33" i="1" s="1"/>
  <c r="G33" i="1" s="1"/>
  <c r="H33" i="1" s="1"/>
  <c r="M9" i="1"/>
  <c r="N8" i="1"/>
  <c r="J18" i="1" l="1" a="1"/>
  <c r="J18" i="1" s="1"/>
  <c r="G18" i="1" s="1"/>
  <c r="H18" i="1" s="1"/>
  <c r="M10" i="1"/>
  <c r="N9" i="1"/>
  <c r="J19" i="1" l="1" a="1"/>
  <c r="J19" i="1" s="1"/>
  <c r="G19" i="1" s="1"/>
  <c r="M11" i="1"/>
  <c r="N10" i="1"/>
  <c r="J26" i="1" l="1" a="1"/>
  <c r="J26" i="1" s="1"/>
  <c r="G26" i="1" s="1"/>
  <c r="H26" i="1" s="1"/>
  <c r="M12" i="1"/>
  <c r="N11" i="1"/>
  <c r="J20" i="1" l="1" a="1"/>
  <c r="J20" i="1" s="1"/>
  <c r="G20" i="1" s="1"/>
  <c r="H20" i="1" s="1"/>
  <c r="M13" i="1"/>
  <c r="N12" i="1"/>
  <c r="J14" i="1" l="1" a="1"/>
  <c r="J14" i="1" s="1"/>
  <c r="G14" i="1" s="1"/>
  <c r="N13" i="1"/>
  <c r="M15" i="1" l="1"/>
  <c r="N14" i="1"/>
  <c r="J35" i="1" l="1" a="1"/>
  <c r="J35" i="1" s="1"/>
  <c r="G35" i="1" s="1"/>
  <c r="H35" i="1" s="1"/>
  <c r="M16" i="1"/>
  <c r="N15" i="1"/>
  <c r="J23" i="1" l="1" a="1"/>
  <c r="J23" i="1" s="1"/>
  <c r="G23" i="1" s="1"/>
  <c r="H23" i="1" s="1"/>
  <c r="M17" i="1"/>
  <c r="N16" i="1"/>
  <c r="J22" i="1" l="1" a="1"/>
  <c r="J22" i="1" s="1"/>
  <c r="G22" i="1" s="1"/>
  <c r="H22" i="1" s="1"/>
  <c r="M18" i="1"/>
  <c r="N17" i="1"/>
  <c r="M19" i="1" l="1"/>
  <c r="N18" i="1"/>
  <c r="M20" i="1" l="1"/>
  <c r="N19" i="1"/>
  <c r="M21" i="1" l="1"/>
  <c r="N20" i="1"/>
  <c r="J63" i="1" l="1" a="1"/>
  <c r="J63" i="1" s="1"/>
  <c r="G63" i="1" s="1"/>
  <c r="H63" i="1" s="1"/>
  <c r="M22" i="1"/>
  <c r="N21" i="1"/>
  <c r="M23" i="1" l="1"/>
  <c r="N22" i="1"/>
  <c r="M24" i="1" l="1"/>
  <c r="N23" i="1"/>
  <c r="J42" i="1" l="1" a="1"/>
  <c r="J42" i="1" s="1"/>
  <c r="G42" i="1" s="1"/>
  <c r="H42" i="1" s="1"/>
  <c r="M25" i="1"/>
  <c r="N24" i="1"/>
  <c r="J47" i="1" l="1" a="1"/>
  <c r="J47" i="1" s="1"/>
  <c r="G47" i="1" s="1"/>
  <c r="H47" i="1" s="1"/>
  <c r="M26" i="1"/>
  <c r="N25" i="1"/>
  <c r="M27" i="1" l="1"/>
  <c r="N26" i="1"/>
  <c r="J54" i="1" l="1" a="1"/>
  <c r="J54" i="1" s="1"/>
  <c r="G54" i="1" s="1"/>
  <c r="H54" i="1" s="1"/>
  <c r="M28" i="1"/>
  <c r="N27" i="1"/>
  <c r="M29" i="1" l="1"/>
  <c r="N28" i="1"/>
  <c r="J68" i="1" l="1" a="1"/>
  <c r="J68" i="1" s="1"/>
  <c r="G68" i="1" s="1"/>
  <c r="H68" i="1" s="1"/>
  <c r="M30" i="1"/>
  <c r="N29" i="1"/>
  <c r="J84" i="1" l="1" a="1"/>
  <c r="J84" i="1" s="1"/>
  <c r="G84" i="1" s="1"/>
  <c r="H84" i="1" s="1"/>
  <c r="M31" i="1"/>
  <c r="N30" i="1"/>
  <c r="J49" i="1" l="1" a="1"/>
  <c r="J49" i="1" s="1"/>
  <c r="G49" i="1" s="1"/>
  <c r="H49" i="1" s="1"/>
  <c r="M32" i="1"/>
  <c r="N31" i="1"/>
  <c r="J40" i="1" l="1" a="1"/>
  <c r="J40" i="1" s="1"/>
  <c r="G40" i="1" s="1"/>
  <c r="H40" i="1" s="1"/>
  <c r="M33" i="1"/>
  <c r="N32" i="1"/>
  <c r="M34" i="1" l="1"/>
  <c r="N33" i="1"/>
  <c r="M35" i="1" l="1"/>
  <c r="N34" i="1"/>
  <c r="M36" i="1" l="1"/>
  <c r="N35" i="1"/>
  <c r="M37" i="1" l="1"/>
  <c r="J178" i="1" s="1" a="1"/>
  <c r="J178" i="1" s="1"/>
  <c r="G178" i="1" s="1"/>
  <c r="H178" i="1" s="1"/>
  <c r="N36" i="1"/>
  <c r="M38" i="1" l="1"/>
  <c r="N37" i="1"/>
  <c r="M39" i="1" l="1"/>
  <c r="N38" i="1"/>
  <c r="J66" i="1" l="1" a="1"/>
  <c r="J66" i="1" s="1"/>
  <c r="G66" i="1" s="1"/>
  <c r="H66" i="1" s="1"/>
  <c r="M40" i="1"/>
  <c r="N39" i="1"/>
  <c r="M41" i="1" l="1"/>
  <c r="N40" i="1"/>
  <c r="J145" i="1" l="1" a="1"/>
  <c r="J145" i="1" s="1"/>
  <c r="G145" i="1" s="1"/>
  <c r="H145" i="1" s="1"/>
  <c r="M42" i="1"/>
  <c r="N41" i="1"/>
  <c r="M43" i="1" l="1"/>
  <c r="N42" i="1"/>
  <c r="J55" i="1" l="1" a="1"/>
  <c r="J55" i="1" s="1"/>
  <c r="G55" i="1" s="1"/>
  <c r="H55" i="1" s="1"/>
  <c r="M44" i="1"/>
  <c r="N43" i="1"/>
  <c r="J51" i="1" l="1" a="1"/>
  <c r="J51" i="1" s="1"/>
  <c r="G51" i="1" s="1"/>
  <c r="H51" i="1" s="1"/>
  <c r="M45" i="1"/>
  <c r="N44" i="1"/>
  <c r="J56" i="1" l="1" a="1"/>
  <c r="J56" i="1" s="1"/>
  <c r="G56" i="1" s="1"/>
  <c r="H56" i="1" s="1"/>
  <c r="M46" i="1"/>
  <c r="N45" i="1"/>
  <c r="J50" i="1" l="1" a="1"/>
  <c r="J50" i="1" s="1"/>
  <c r="G50" i="1" s="1"/>
  <c r="H50" i="1" s="1"/>
  <c r="M47" i="1"/>
  <c r="N46" i="1"/>
  <c r="M48" i="1" l="1"/>
  <c r="N47" i="1"/>
  <c r="M49" i="1" l="1"/>
  <c r="N48" i="1"/>
  <c r="M50" i="1" l="1"/>
  <c r="N49" i="1"/>
  <c r="M51" i="1" l="1"/>
  <c r="N50" i="1"/>
  <c r="M52" i="1" l="1"/>
  <c r="N51" i="1"/>
  <c r="J86" i="1" l="1" a="1"/>
  <c r="J86" i="1" s="1"/>
  <c r="G86" i="1" s="1"/>
  <c r="H86" i="1" s="1"/>
  <c r="M53" i="1"/>
  <c r="N52" i="1"/>
  <c r="J60" i="1" l="1" a="1"/>
  <c r="J60" i="1" s="1"/>
  <c r="G60" i="1" s="1"/>
  <c r="H60" i="1" s="1"/>
  <c r="M54" i="1"/>
  <c r="N53" i="1"/>
  <c r="M55" i="1" l="1"/>
  <c r="N54" i="1"/>
  <c r="M56" i="1" l="1"/>
  <c r="N55" i="1"/>
  <c r="M57" i="1" l="1"/>
  <c r="J170" i="1" s="1" a="1"/>
  <c r="J170" i="1" s="1"/>
  <c r="G170" i="1" s="1"/>
  <c r="H170" i="1" s="1"/>
  <c r="N56" i="1"/>
  <c r="M58" i="1" l="1"/>
  <c r="N57" i="1"/>
  <c r="J83" i="1" l="1" a="1"/>
  <c r="J83" i="1" s="1"/>
  <c r="G83" i="1" s="1"/>
  <c r="H83" i="1" s="1"/>
  <c r="M59" i="1"/>
  <c r="N58" i="1"/>
  <c r="J65" i="1" l="1" a="1"/>
  <c r="J65" i="1" s="1"/>
  <c r="G65" i="1" s="1"/>
  <c r="H65" i="1" s="1"/>
  <c r="M60" i="1"/>
  <c r="N59" i="1"/>
  <c r="M61" i="1" l="1"/>
  <c r="N60" i="1"/>
  <c r="J74" i="1" l="1" a="1"/>
  <c r="J74" i="1" s="1"/>
  <c r="G74" i="1" s="1"/>
  <c r="H74" i="1" s="1"/>
  <c r="M62" i="1"/>
  <c r="N61" i="1"/>
  <c r="J75" i="1" l="1" a="1"/>
  <c r="J75" i="1" s="1"/>
  <c r="G75" i="1" s="1"/>
  <c r="H75" i="1" s="1"/>
  <c r="M63" i="1"/>
  <c r="N62" i="1"/>
  <c r="M64" i="1" l="1"/>
  <c r="N63" i="1"/>
  <c r="J100" i="1" l="1" a="1"/>
  <c r="J100" i="1" s="1"/>
  <c r="G100" i="1" s="1"/>
  <c r="H100" i="1" s="1"/>
  <c r="M65" i="1"/>
  <c r="N64" i="1"/>
  <c r="M66" i="1" l="1"/>
  <c r="N65" i="1"/>
  <c r="M67" i="1" l="1"/>
  <c r="N66" i="1"/>
  <c r="J76" i="1" l="1" a="1"/>
  <c r="J76" i="1" s="1"/>
  <c r="G76" i="1" s="1"/>
  <c r="H76" i="1" s="1"/>
  <c r="M68" i="1"/>
  <c r="N67" i="1"/>
  <c r="M69" i="1" l="1"/>
  <c r="N68" i="1"/>
  <c r="J70" i="1" l="1" a="1"/>
  <c r="J70" i="1" s="1"/>
  <c r="G70" i="1" s="1"/>
  <c r="H70" i="1" s="1"/>
  <c r="N69" i="1"/>
  <c r="M70" i="1" l="1"/>
  <c r="M71" i="1"/>
  <c r="N70" i="1"/>
  <c r="J99" i="1" l="1" a="1"/>
  <c r="J99" i="1" s="1"/>
  <c r="G99" i="1" s="1"/>
  <c r="H99" i="1" s="1"/>
  <c r="M72" i="1"/>
  <c r="N71" i="1"/>
  <c r="J78" i="1" l="1" a="1"/>
  <c r="J78" i="1" s="1"/>
  <c r="G78" i="1" s="1"/>
  <c r="H78" i="1" s="1"/>
  <c r="M73" i="1"/>
  <c r="N72" i="1"/>
  <c r="J114" i="1" l="1" a="1"/>
  <c r="J114" i="1" s="1"/>
  <c r="G114" i="1" s="1"/>
  <c r="H114" i="1" s="1"/>
  <c r="M74" i="1"/>
  <c r="N73" i="1"/>
  <c r="M75" i="1" l="1"/>
  <c r="N74" i="1"/>
  <c r="M76" i="1" l="1"/>
  <c r="N75" i="1"/>
  <c r="M77" i="1" l="1"/>
  <c r="N76" i="1"/>
  <c r="J85" i="1" l="1" a="1"/>
  <c r="J85" i="1" s="1"/>
  <c r="G85" i="1" s="1"/>
  <c r="H85" i="1" s="1"/>
  <c r="M78" i="1"/>
  <c r="N77" i="1"/>
  <c r="M79" i="1" l="1"/>
  <c r="N78" i="1"/>
  <c r="J122" i="1" l="1" a="1"/>
  <c r="J122" i="1" s="1"/>
  <c r="G122" i="1" s="1"/>
  <c r="H122" i="1" s="1"/>
  <c r="M80" i="1"/>
  <c r="N79" i="1"/>
  <c r="J90" i="1" l="1" a="1"/>
  <c r="J90" i="1" s="1"/>
  <c r="G90" i="1" s="1"/>
  <c r="H90" i="1" s="1"/>
  <c r="M81" i="1"/>
  <c r="N80" i="1"/>
  <c r="J88" i="1" l="1" a="1"/>
  <c r="J88" i="1" s="1"/>
  <c r="G88" i="1" s="1"/>
  <c r="H88" i="1" s="1"/>
  <c r="M82" i="1"/>
  <c r="N81" i="1"/>
  <c r="J98" i="1" l="1" a="1"/>
  <c r="J98" i="1" s="1"/>
  <c r="G98" i="1" s="1"/>
  <c r="H98" i="1" s="1"/>
  <c r="M83" i="1"/>
  <c r="N82" i="1"/>
  <c r="M84" i="1" l="1"/>
  <c r="N83" i="1"/>
  <c r="M85" i="1" l="1"/>
  <c r="N84" i="1"/>
  <c r="M86" i="1" l="1"/>
  <c r="N85" i="1"/>
  <c r="M87" i="1" l="1"/>
  <c r="N86" i="1"/>
  <c r="J91" i="1" l="1" a="1"/>
  <c r="J91" i="1" s="1"/>
  <c r="G91" i="1" s="1"/>
  <c r="H91" i="1" s="1"/>
  <c r="M88" i="1"/>
  <c r="N87" i="1"/>
  <c r="M89" i="1" l="1"/>
  <c r="N88" i="1"/>
  <c r="J97" i="1" l="1" a="1"/>
  <c r="J97" i="1" s="1"/>
  <c r="G97" i="1" s="1"/>
  <c r="H97" i="1" s="1"/>
  <c r="M90" i="1"/>
  <c r="N89" i="1"/>
  <c r="M91" i="1" l="1"/>
  <c r="N90" i="1"/>
  <c r="M92" i="1" l="1"/>
  <c r="N91" i="1"/>
  <c r="J118" i="1" l="1" a="1"/>
  <c r="J118" i="1" s="1"/>
  <c r="G118" i="1" s="1"/>
  <c r="H118" i="1" s="1"/>
  <c r="M93" i="1"/>
  <c r="N92" i="1"/>
  <c r="J113" i="1" l="1" a="1"/>
  <c r="J113" i="1" s="1"/>
  <c r="G113" i="1" s="1"/>
  <c r="H113" i="1" s="1"/>
  <c r="M94" i="1"/>
  <c r="N93" i="1"/>
  <c r="J101" i="1" l="1" a="1"/>
  <c r="J101" i="1" s="1"/>
  <c r="G101" i="1" s="1"/>
  <c r="H101" i="1" s="1"/>
  <c r="M95" i="1"/>
  <c r="N94" i="1"/>
  <c r="J110" i="1" l="1" a="1"/>
  <c r="J110" i="1" s="1"/>
  <c r="G110" i="1" s="1"/>
  <c r="H110" i="1" s="1"/>
  <c r="M96" i="1"/>
  <c r="N95" i="1"/>
  <c r="J107" i="1" l="1" a="1"/>
  <c r="J107" i="1" s="1"/>
  <c r="G107" i="1" s="1"/>
  <c r="H107" i="1" s="1"/>
  <c r="M97" i="1"/>
  <c r="N96" i="1"/>
  <c r="M98" i="1" l="1"/>
  <c r="N97" i="1"/>
  <c r="M99" i="1" l="1"/>
  <c r="N98" i="1"/>
  <c r="M100" i="1" l="1"/>
  <c r="N99" i="1"/>
  <c r="M101" i="1" l="1"/>
  <c r="N100" i="1"/>
  <c r="M102" i="1" l="1"/>
  <c r="N101" i="1"/>
  <c r="J104" i="1" l="1" a="1"/>
  <c r="J104" i="1" s="1"/>
  <c r="G104" i="1" s="1"/>
  <c r="H104" i="1" s="1"/>
  <c r="M103" i="1"/>
  <c r="N102" i="1"/>
  <c r="J144" i="1" l="1" a="1"/>
  <c r="J144" i="1" s="1"/>
  <c r="G144" i="1" s="1"/>
  <c r="H144" i="1" s="1"/>
  <c r="M104" i="1"/>
  <c r="N103" i="1"/>
  <c r="M105" i="1" l="1"/>
  <c r="N104" i="1"/>
  <c r="J119" i="1" l="1" a="1"/>
  <c r="J119" i="1" s="1"/>
  <c r="G119" i="1" s="1"/>
  <c r="H119" i="1" s="1"/>
  <c r="M106" i="1"/>
  <c r="N105" i="1"/>
  <c r="M107" i="1" l="1"/>
  <c r="N106" i="1"/>
  <c r="M108" i="1" l="1"/>
  <c r="N107" i="1"/>
  <c r="J123" i="1" l="1" a="1"/>
  <c r="J123" i="1" s="1"/>
  <c r="G123" i="1" s="1"/>
  <c r="H123" i="1" s="1"/>
  <c r="M109" i="1"/>
  <c r="N108" i="1"/>
  <c r="J129" i="1" l="1" a="1"/>
  <c r="J129" i="1" s="1"/>
  <c r="G129" i="1" s="1"/>
  <c r="H129" i="1" s="1"/>
  <c r="M110" i="1"/>
  <c r="N109" i="1"/>
  <c r="M111" i="1" l="1"/>
  <c r="N110" i="1"/>
  <c r="J130" i="1" l="1" a="1"/>
  <c r="J130" i="1" s="1"/>
  <c r="G130" i="1" s="1"/>
  <c r="H130" i="1" s="1"/>
  <c r="M112" i="1"/>
  <c r="N111" i="1"/>
  <c r="J134" i="1" l="1" a="1"/>
  <c r="J134" i="1" s="1"/>
  <c r="G134" i="1" s="1"/>
  <c r="H134" i="1" s="1"/>
  <c r="M113" i="1"/>
  <c r="N112" i="1"/>
  <c r="M114" i="1" l="1"/>
  <c r="N113" i="1"/>
  <c r="M115" i="1" l="1"/>
  <c r="N114" i="1"/>
  <c r="J116" i="1" l="1" a="1"/>
  <c r="J116" i="1" s="1"/>
  <c r="G116" i="1" s="1"/>
  <c r="H116" i="1" s="1"/>
  <c r="N115" i="1"/>
  <c r="M116" i="1" l="1"/>
  <c r="M117" i="1"/>
  <c r="N116" i="1"/>
  <c r="J146" i="1" l="1" a="1"/>
  <c r="J146" i="1" s="1"/>
  <c r="G146" i="1" s="1"/>
  <c r="H146" i="1" s="1"/>
  <c r="M118" i="1"/>
  <c r="N117" i="1"/>
  <c r="M119" i="1" l="1"/>
  <c r="N118" i="1"/>
  <c r="M120" i="1" l="1"/>
  <c r="N119" i="1"/>
  <c r="J136" i="1" l="1" a="1"/>
  <c r="J136" i="1" s="1"/>
  <c r="G136" i="1" s="1"/>
  <c r="H136" i="1" s="1"/>
  <c r="M121" i="1"/>
  <c r="N120" i="1"/>
  <c r="J128" i="1" l="1" a="1"/>
  <c r="J128" i="1" s="1"/>
  <c r="G128" i="1" s="1"/>
  <c r="H128" i="1" s="1"/>
  <c r="M122" i="1"/>
  <c r="N121" i="1"/>
  <c r="M123" i="1" l="1"/>
  <c r="N122" i="1"/>
  <c r="M124" i="1" l="1"/>
  <c r="N123" i="1"/>
  <c r="J140" i="1" l="1" a="1"/>
  <c r="J140" i="1" s="1"/>
  <c r="G140" i="1" s="1"/>
  <c r="H140" i="1" s="1"/>
  <c r="M125" i="1"/>
  <c r="N124" i="1"/>
  <c r="J131" i="1" l="1" a="1"/>
  <c r="J131" i="1" s="1"/>
  <c r="G131" i="1" s="1"/>
  <c r="H131" i="1" s="1"/>
  <c r="M126" i="1"/>
  <c r="N125" i="1"/>
  <c r="J138" i="1" l="1" a="1"/>
  <c r="J138" i="1" s="1"/>
  <c r="G138" i="1" s="1"/>
  <c r="H138" i="1" s="1"/>
  <c r="M127" i="1"/>
  <c r="J224" i="1" s="1" a="1"/>
  <c r="J224" i="1" s="1"/>
  <c r="G224" i="1" s="1"/>
  <c r="H224" i="1" s="1"/>
  <c r="N126" i="1"/>
  <c r="M128" i="1" l="1"/>
  <c r="N127" i="1"/>
  <c r="M129" i="1" l="1"/>
  <c r="N128" i="1"/>
  <c r="M130" i="1" l="1"/>
  <c r="N129" i="1"/>
  <c r="M131" i="1" l="1"/>
  <c r="N130" i="1"/>
  <c r="M132" i="1" l="1"/>
  <c r="J154" i="1" s="1" a="1"/>
  <c r="J154" i="1" s="1"/>
  <c r="G154" i="1" s="1"/>
  <c r="H154" i="1" s="1"/>
  <c r="N131" i="1"/>
  <c r="M133" i="1" l="1"/>
  <c r="J156" i="1" s="1" a="1"/>
  <c r="J156" i="1" s="1"/>
  <c r="G156" i="1" s="1"/>
  <c r="H156" i="1" s="1"/>
  <c r="N132" i="1"/>
  <c r="M134" i="1" l="1"/>
  <c r="N133" i="1"/>
  <c r="M135" i="1" l="1"/>
  <c r="J147" i="1" s="1" a="1"/>
  <c r="J147" i="1" s="1"/>
  <c r="G147" i="1" s="1"/>
  <c r="H147" i="1" s="1"/>
  <c r="N134" i="1"/>
  <c r="M136" i="1" l="1"/>
  <c r="N135" i="1"/>
  <c r="M137" i="1" l="1"/>
  <c r="J148" i="1" s="1" a="1"/>
  <c r="J148" i="1" s="1"/>
  <c r="G148" i="1" s="1"/>
  <c r="H148" i="1" s="1"/>
  <c r="N136" i="1"/>
  <c r="M138" i="1" l="1"/>
  <c r="N137" i="1"/>
  <c r="M139" i="1" l="1"/>
  <c r="J149" i="1" s="1" a="1"/>
  <c r="J149" i="1" s="1"/>
  <c r="G149" i="1" s="1"/>
  <c r="H149" i="1" s="1"/>
  <c r="N138" i="1"/>
  <c r="M140" i="1" l="1"/>
  <c r="N139" i="1"/>
  <c r="M141" i="1" l="1"/>
  <c r="J173" i="1" s="1" a="1"/>
  <c r="J173" i="1" s="1"/>
  <c r="G173" i="1" s="1"/>
  <c r="H173" i="1" s="1"/>
  <c r="N140" i="1"/>
  <c r="M142" i="1" l="1"/>
  <c r="J174" i="1" s="1" a="1"/>
  <c r="J174" i="1" s="1"/>
  <c r="G174" i="1" s="1"/>
  <c r="H174" i="1" s="1"/>
  <c r="N141" i="1"/>
  <c r="M143" i="1" l="1"/>
  <c r="J159" i="1" s="1" a="1"/>
  <c r="J159" i="1" s="1"/>
  <c r="G159" i="1" s="1"/>
  <c r="H159" i="1" s="1"/>
  <c r="N142" i="1"/>
  <c r="M144" i="1" l="1"/>
  <c r="N143" i="1"/>
  <c r="M145" i="1" l="1"/>
  <c r="N144" i="1"/>
  <c r="M146" i="1" l="1"/>
  <c r="M147" i="1" s="1"/>
  <c r="N145" i="1"/>
  <c r="N147" i="1" l="1"/>
  <c r="M148" i="1"/>
  <c r="N146" i="1"/>
  <c r="N148" i="1" l="1"/>
  <c r="M149" i="1"/>
  <c r="N149" i="1" l="1"/>
  <c r="M150" i="1"/>
  <c r="N150" i="1" l="1"/>
  <c r="M151" i="1"/>
  <c r="J160" i="1" a="1"/>
  <c r="J160" i="1" s="1"/>
  <c r="G160" i="1" s="1"/>
  <c r="H160" i="1" s="1"/>
  <c r="N151" i="1" l="1"/>
  <c r="M152" i="1"/>
  <c r="J190" i="1" a="1"/>
  <c r="J190" i="1" s="1"/>
  <c r="G190" i="1" s="1"/>
  <c r="H190" i="1" s="1"/>
  <c r="N152" i="1" l="1"/>
  <c r="M153" i="1"/>
  <c r="J176" i="1" a="1"/>
  <c r="J176" i="1" s="1"/>
  <c r="G176" i="1" s="1"/>
  <c r="H176" i="1" s="1"/>
  <c r="N153" i="1" l="1"/>
  <c r="M154" i="1"/>
  <c r="J162" i="1" a="1"/>
  <c r="J162" i="1" s="1"/>
  <c r="G162" i="1" s="1"/>
  <c r="H162" i="1" s="1"/>
  <c r="N154" i="1" l="1"/>
  <c r="M155" i="1"/>
  <c r="N155" i="1" l="1"/>
  <c r="M156" i="1"/>
  <c r="J164" i="1" a="1"/>
  <c r="J164" i="1" s="1"/>
  <c r="G164" i="1" s="1"/>
  <c r="H164" i="1" s="1"/>
  <c r="N156" i="1" l="1"/>
  <c r="M157" i="1"/>
  <c r="N157" i="1" l="1"/>
  <c r="M158" i="1"/>
  <c r="J166" i="1" a="1"/>
  <c r="J166" i="1" s="1"/>
  <c r="G166" i="1" s="1"/>
  <c r="H166" i="1" s="1"/>
  <c r="N158" i="1" l="1"/>
  <c r="M159" i="1"/>
  <c r="J167" i="1" a="1"/>
  <c r="J167" i="1" s="1"/>
  <c r="G167" i="1" s="1"/>
  <c r="H167" i="1" s="1"/>
  <c r="N159" i="1" l="1"/>
  <c r="M160" i="1"/>
  <c r="N160" i="1" l="1"/>
  <c r="M161" i="1"/>
  <c r="N161" i="1" l="1"/>
  <c r="M162" i="1"/>
  <c r="J189" i="1" a="1"/>
  <c r="J189" i="1" s="1"/>
  <c r="G189" i="1" s="1"/>
  <c r="H189" i="1" s="1"/>
  <c r="N162" i="1" l="1"/>
  <c r="M163" i="1"/>
  <c r="N163" i="1" l="1"/>
  <c r="M164" i="1"/>
  <c r="J182" i="1" a="1"/>
  <c r="J182" i="1" s="1"/>
  <c r="G182" i="1" s="1"/>
  <c r="H182" i="1" s="1"/>
  <c r="N164" i="1" l="1"/>
  <c r="M165" i="1"/>
  <c r="N165" i="1" l="1"/>
  <c r="M166" i="1"/>
  <c r="J232" i="1" a="1"/>
  <c r="J232" i="1" s="1"/>
  <c r="G232" i="1" s="1"/>
  <c r="H232" i="1" s="1"/>
  <c r="N166" i="1" l="1"/>
  <c r="M167" i="1"/>
  <c r="N167" i="1" l="1"/>
  <c r="M168" i="1"/>
  <c r="N168" i="1" l="1"/>
  <c r="M169" i="1"/>
  <c r="J203" i="1" a="1"/>
  <c r="J203" i="1" s="1"/>
  <c r="G203" i="1" s="1"/>
  <c r="H203" i="1" s="1"/>
  <c r="N169" i="1" l="1"/>
  <c r="M170" i="1"/>
  <c r="J179" i="1" a="1"/>
  <c r="J179" i="1" s="1"/>
  <c r="G179" i="1" s="1"/>
  <c r="H179" i="1" s="1"/>
  <c r="N170" i="1" l="1"/>
  <c r="M171" i="1"/>
  <c r="N171" i="1" l="1"/>
  <c r="M172" i="1"/>
  <c r="J192" i="1" a="1"/>
  <c r="J192" i="1" s="1"/>
  <c r="G192" i="1" s="1"/>
  <c r="H192" i="1" s="1"/>
  <c r="N172" i="1" l="1"/>
  <c r="M173" i="1"/>
  <c r="J204" i="1" a="1"/>
  <c r="J204" i="1" s="1"/>
  <c r="G204" i="1" s="1"/>
  <c r="H204" i="1" s="1"/>
  <c r="N173" i="1" l="1"/>
  <c r="M174" i="1"/>
  <c r="N174" i="1" l="1"/>
  <c r="M175" i="1"/>
  <c r="N175" i="1" l="1"/>
  <c r="M176" i="1"/>
  <c r="J250" i="1" a="1"/>
  <c r="J250" i="1" s="1"/>
  <c r="G250" i="1" s="1"/>
  <c r="H250" i="1" s="1"/>
  <c r="N176" i="1" l="1"/>
  <c r="M177" i="1"/>
  <c r="N177" i="1" l="1"/>
  <c r="M178" i="1"/>
  <c r="J184" i="1" a="1"/>
  <c r="J184" i="1" s="1"/>
  <c r="G184" i="1" s="1"/>
  <c r="H184" i="1" s="1"/>
  <c r="N178" i="1" l="1"/>
  <c r="M179" i="1"/>
  <c r="N179" i="1" l="1"/>
  <c r="M180" i="1"/>
  <c r="N180" i="1" l="1"/>
  <c r="M181" i="1"/>
  <c r="J225" i="1" a="1"/>
  <c r="J225" i="1" s="1"/>
  <c r="G225" i="1" s="1"/>
  <c r="H225" i="1" s="1"/>
  <c r="N181" i="1" l="1"/>
  <c r="M182" i="1"/>
  <c r="J191" i="1" a="1"/>
  <c r="J191" i="1" s="1"/>
  <c r="G191" i="1" s="1"/>
  <c r="H191" i="1" s="1"/>
  <c r="N182" i="1" l="1"/>
  <c r="M183" i="1"/>
  <c r="N183" i="1" l="1"/>
  <c r="M184" i="1"/>
  <c r="J196" i="1" a="1"/>
  <c r="J196" i="1" s="1"/>
  <c r="G196" i="1" s="1"/>
  <c r="H196" i="1" s="1"/>
  <c r="N184" i="1" l="1"/>
  <c r="M185" i="1"/>
  <c r="N185" i="1" l="1"/>
  <c r="M186" i="1"/>
  <c r="J220" i="1" a="1"/>
  <c r="J220" i="1" s="1"/>
  <c r="G220" i="1" s="1"/>
  <c r="H220" i="1" s="1"/>
  <c r="N186" i="1" l="1"/>
  <c r="M187" i="1"/>
  <c r="J206" i="1" a="1"/>
  <c r="J206" i="1" s="1"/>
  <c r="G206" i="1" s="1"/>
  <c r="H206" i="1" s="1"/>
  <c r="N187" i="1" l="1"/>
  <c r="M188" i="1"/>
  <c r="J197" i="1" a="1"/>
  <c r="J197" i="1" s="1"/>
  <c r="G197" i="1" s="1"/>
  <c r="H197" i="1" s="1"/>
  <c r="N188" i="1" l="1"/>
  <c r="M189" i="1"/>
  <c r="J194" i="1" a="1"/>
  <c r="J194" i="1" s="1"/>
  <c r="G194" i="1" s="1"/>
  <c r="H194" i="1" s="1"/>
  <c r="N189" i="1" l="1"/>
  <c r="M190" i="1"/>
  <c r="N190" i="1" l="1"/>
  <c r="M191" i="1"/>
  <c r="N191" i="1" l="1"/>
  <c r="M192" i="1"/>
  <c r="N192" i="1" l="1"/>
  <c r="M193" i="1"/>
  <c r="N193" i="1" l="1"/>
  <c r="M194" i="1"/>
  <c r="J207" i="1" a="1"/>
  <c r="J207" i="1" s="1"/>
  <c r="G207" i="1" s="1"/>
  <c r="H207" i="1" s="1"/>
  <c r="N194" i="1" l="1"/>
  <c r="M195" i="1"/>
  <c r="N195" i="1" l="1"/>
  <c r="M196" i="1"/>
  <c r="J200" i="1" a="1"/>
  <c r="J200" i="1" s="1"/>
  <c r="G200" i="1" s="1"/>
  <c r="H200" i="1" s="1"/>
  <c r="N196" i="1" l="1"/>
  <c r="M197" i="1"/>
  <c r="N197" i="1" l="1"/>
  <c r="M198" i="1"/>
  <c r="N198" i="1" l="1"/>
  <c r="M199" i="1"/>
  <c r="J210" i="1" a="1"/>
  <c r="J210" i="1" s="1"/>
  <c r="G210" i="1" s="1"/>
  <c r="H210" i="1" s="1"/>
  <c r="N199" i="1" l="1"/>
  <c r="M200" i="1"/>
  <c r="J211" i="1" a="1"/>
  <c r="J211" i="1" s="1"/>
  <c r="G211" i="1" s="1"/>
  <c r="H211" i="1" s="1"/>
  <c r="N200" i="1" l="1"/>
  <c r="M201" i="1"/>
  <c r="N201" i="1" l="1"/>
  <c r="M202" i="1"/>
  <c r="J249" i="1" a="1"/>
  <c r="J249" i="1" s="1"/>
  <c r="G249" i="1" s="1"/>
  <c r="H249" i="1" s="1"/>
  <c r="N202" i="1" l="1"/>
  <c r="M203" i="1"/>
  <c r="J238" i="1" a="1"/>
  <c r="J238" i="1" s="1"/>
  <c r="G238" i="1" s="1"/>
  <c r="H238" i="1" s="1"/>
  <c r="N203" i="1" l="1"/>
  <c r="M204" i="1"/>
  <c r="N204" i="1" l="1"/>
  <c r="M205" i="1"/>
  <c r="N205" i="1" l="1"/>
  <c r="M206" i="1"/>
  <c r="J230" i="1" a="1"/>
  <c r="J230" i="1" s="1"/>
  <c r="G230" i="1" s="1"/>
  <c r="H230" i="1" s="1"/>
  <c r="N206" i="1" l="1"/>
  <c r="M207" i="1"/>
  <c r="N207" i="1" l="1"/>
  <c r="M208" i="1"/>
  <c r="N208" i="1" l="1"/>
  <c r="M209" i="1"/>
  <c r="J239" i="1" a="1"/>
  <c r="J239" i="1" s="1"/>
  <c r="G239" i="1" s="1"/>
  <c r="H239" i="1" s="1"/>
  <c r="N209" i="1" l="1"/>
  <c r="M210" i="1"/>
  <c r="J215" i="1" a="1"/>
  <c r="J215" i="1" s="1"/>
  <c r="G215" i="1" s="1"/>
  <c r="H215" i="1" s="1"/>
  <c r="N210" i="1" l="1"/>
  <c r="M211" i="1"/>
  <c r="N211" i="1" l="1"/>
  <c r="M212" i="1"/>
  <c r="N212" i="1" l="1"/>
  <c r="M213" i="1"/>
  <c r="J236" i="1" a="1"/>
  <c r="J236" i="1" s="1"/>
  <c r="G236" i="1" s="1"/>
  <c r="H236" i="1" s="1"/>
  <c r="N213" i="1" l="1"/>
  <c r="M214" i="1"/>
  <c r="J216" i="1" a="1"/>
  <c r="J216" i="1" s="1"/>
  <c r="G216" i="1" s="1"/>
  <c r="H216" i="1" s="1"/>
  <c r="N214" i="1" l="1"/>
  <c r="M215" i="1"/>
  <c r="J221" i="1" a="1"/>
  <c r="J221" i="1" s="1"/>
  <c r="G221" i="1" s="1"/>
  <c r="H221" i="1" s="1"/>
  <c r="N215" i="1" l="1"/>
  <c r="M216" i="1"/>
  <c r="N216" i="1" l="1"/>
  <c r="M217" i="1"/>
  <c r="N217" i="1" l="1"/>
  <c r="M218" i="1"/>
  <c r="J222" i="1" a="1"/>
  <c r="J222" i="1" s="1"/>
  <c r="G222" i="1" s="1"/>
  <c r="H222" i="1" s="1"/>
  <c r="N218" i="1" l="1"/>
  <c r="M219" i="1"/>
  <c r="J247" i="1" a="1"/>
  <c r="J247" i="1" s="1"/>
  <c r="G247" i="1" s="1"/>
  <c r="H247" i="1" s="1"/>
  <c r="N219" i="1" l="1"/>
  <c r="M220" i="1"/>
  <c r="J226" i="1" a="1"/>
  <c r="J226" i="1" s="1"/>
  <c r="G226" i="1" s="1"/>
  <c r="H226" i="1" s="1"/>
  <c r="N220" i="1" l="1"/>
  <c r="M221" i="1"/>
  <c r="N221" i="1" l="1"/>
  <c r="M222" i="1"/>
  <c r="N222" i="1" l="1"/>
  <c r="M223" i="1"/>
  <c r="N223" i="1" l="1"/>
  <c r="M224" i="1"/>
  <c r="J248" i="1" a="1"/>
  <c r="J248" i="1" s="1"/>
  <c r="G248" i="1" s="1"/>
  <c r="H248" i="1" s="1"/>
  <c r="N224" i="1" l="1"/>
  <c r="M225" i="1"/>
  <c r="N225" i="1" l="1"/>
  <c r="M226" i="1"/>
  <c r="N226" i="1" l="1"/>
  <c r="M227" i="1"/>
  <c r="N227" i="1" l="1"/>
  <c r="M228" i="1"/>
  <c r="J252" i="1" a="1"/>
  <c r="J252" i="1" s="1"/>
  <c r="G252" i="1" s="1"/>
  <c r="H252" i="1" s="1"/>
  <c r="N228" i="1" l="1"/>
  <c r="M229" i="1"/>
  <c r="J246" i="1" a="1"/>
  <c r="J246" i="1" s="1"/>
  <c r="G246" i="1" s="1"/>
  <c r="H246" i="1" s="1"/>
  <c r="N229" i="1" l="1"/>
  <c r="M230" i="1"/>
  <c r="J237" i="1" a="1"/>
  <c r="J237" i="1" s="1"/>
  <c r="G237" i="1" s="1"/>
  <c r="H237" i="1" s="1"/>
  <c r="N230" i="1" l="1"/>
  <c r="M231" i="1"/>
  <c r="N231" i="1" l="1"/>
  <c r="M232" i="1"/>
  <c r="J245" i="1" a="1"/>
  <c r="J245" i="1" s="1"/>
  <c r="G245" i="1" s="1"/>
  <c r="H245" i="1" s="1"/>
  <c r="N232" i="1" l="1"/>
  <c r="M233" i="1"/>
  <c r="N233" i="1" l="1"/>
  <c r="M234" i="1"/>
  <c r="J244" i="1" a="1"/>
  <c r="J244" i="1" s="1"/>
  <c r="G244" i="1" s="1"/>
  <c r="H244" i="1" s="1"/>
  <c r="N234" i="1" l="1"/>
  <c r="M235" i="1"/>
  <c r="J242" i="1" a="1"/>
  <c r="J242" i="1" s="1"/>
  <c r="G242" i="1" s="1"/>
  <c r="H242" i="1" s="1"/>
  <c r="N235" i="1" l="1"/>
  <c r="M236" i="1"/>
  <c r="J243" i="1" a="1"/>
  <c r="J243" i="1" s="1"/>
  <c r="G243" i="1" s="1"/>
  <c r="H243" i="1" s="1"/>
  <c r="N236" i="1" l="1"/>
  <c r="M237" i="1"/>
  <c r="N237" i="1" l="1"/>
  <c r="M238" i="1"/>
  <c r="N238" i="1" l="1"/>
  <c r="M239" i="1"/>
  <c r="N239" i="1" l="1"/>
  <c r="M240" i="1"/>
  <c r="N240" i="1" l="1"/>
  <c r="M241" i="1"/>
  <c r="J251" i="1" a="1"/>
  <c r="J251" i="1" s="1"/>
  <c r="G251" i="1" s="1"/>
  <c r="H251" i="1" s="1"/>
  <c r="N241" i="1" l="1"/>
  <c r="M242" i="1"/>
  <c r="J253" i="1" a="1"/>
  <c r="J253" i="1" s="1"/>
  <c r="G253" i="1" s="1"/>
  <c r="H253" i="1" s="1"/>
  <c r="N242" i="1" l="1"/>
  <c r="M243" i="1"/>
  <c r="N243" i="1" l="1"/>
  <c r="M244" i="1"/>
  <c r="N244" i="1" l="1"/>
  <c r="M245" i="1"/>
  <c r="N245" i="1" l="1"/>
  <c r="M246" i="1"/>
  <c r="N246" i="1" l="1"/>
  <c r="M247" i="1"/>
  <c r="N247" i="1" l="1"/>
  <c r="M248" i="1"/>
  <c r="N248" i="1" l="1"/>
  <c r="M249" i="1"/>
  <c r="N249" i="1" l="1"/>
  <c r="M250" i="1"/>
  <c r="N250" i="1" l="1"/>
  <c r="M251" i="1"/>
  <c r="N251" i="1" l="1"/>
  <c r="M252" i="1"/>
  <c r="N252" i="1" l="1"/>
  <c r="M253" i="1"/>
  <c r="N25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<sst xmlns="http://schemas.openxmlformats.org/spreadsheetml/2006/main" count="509" uniqueCount="81">
  <si>
    <t>Date</t>
  </si>
  <si>
    <t>Ticker</t>
  </si>
  <si>
    <t>Action</t>
  </si>
  <si>
    <t>Score</t>
  </si>
  <si>
    <t>TradeReturn_%</t>
  </si>
  <si>
    <t>SMCI</t>
  </si>
  <si>
    <t>ENTRY</t>
  </si>
  <si>
    <t>GILD</t>
  </si>
  <si>
    <t>PDD</t>
  </si>
  <si>
    <t>ORLY</t>
  </si>
  <si>
    <t>PCAR</t>
  </si>
  <si>
    <t>ROST</t>
  </si>
  <si>
    <t>BIIB</t>
  </si>
  <si>
    <t>HON</t>
  </si>
  <si>
    <t>CTAS</t>
  </si>
  <si>
    <t>REGN</t>
  </si>
  <si>
    <t>AMGN</t>
  </si>
  <si>
    <t>KLAC</t>
  </si>
  <si>
    <t>EXIT</t>
  </si>
  <si>
    <t>SBUX</t>
  </si>
  <si>
    <t>VRTX</t>
  </si>
  <si>
    <t>MRNA</t>
  </si>
  <si>
    <t>MNST</t>
  </si>
  <si>
    <t>ON</t>
  </si>
  <si>
    <t>ODFL</t>
  </si>
  <si>
    <t>BKNG</t>
  </si>
  <si>
    <t>CDNS</t>
  </si>
  <si>
    <t>CPRT</t>
  </si>
  <si>
    <t>ADI</t>
  </si>
  <si>
    <t>GFS</t>
  </si>
  <si>
    <t>NVDA</t>
  </si>
  <si>
    <t>MELI</t>
  </si>
  <si>
    <t>META</t>
  </si>
  <si>
    <t>NFLX</t>
  </si>
  <si>
    <t>IDXX</t>
  </si>
  <si>
    <t>TRI</t>
  </si>
  <si>
    <t>SHOP</t>
  </si>
  <si>
    <t>AVGO</t>
  </si>
  <si>
    <t>SNPS</t>
  </si>
  <si>
    <t>TTD</t>
  </si>
  <si>
    <t>LRCX</t>
  </si>
  <si>
    <t>PANW</t>
  </si>
  <si>
    <t>FTNT</t>
  </si>
  <si>
    <t>CEG</t>
  </si>
  <si>
    <t>APP</t>
  </si>
  <si>
    <t>AMAT</t>
  </si>
  <si>
    <t>ADBE</t>
  </si>
  <si>
    <t>MAR</t>
  </si>
  <si>
    <t>WDAY</t>
  </si>
  <si>
    <t>BKR</t>
  </si>
  <si>
    <t>CMCSA</t>
  </si>
  <si>
    <t>VRSK</t>
  </si>
  <si>
    <t>NTES</t>
  </si>
  <si>
    <t>CRWD</t>
  </si>
  <si>
    <t>INTC</t>
  </si>
  <si>
    <t>ZS</t>
  </si>
  <si>
    <t>AMD</t>
  </si>
  <si>
    <t>TEAM</t>
  </si>
  <si>
    <t>DASH</t>
  </si>
  <si>
    <t>MDB</t>
  </si>
  <si>
    <t>AMZN</t>
  </si>
  <si>
    <t>MU</t>
  </si>
  <si>
    <t>QCOM</t>
  </si>
  <si>
    <t>COST</t>
  </si>
  <si>
    <t>AEP</t>
  </si>
  <si>
    <t>ISRG</t>
  </si>
  <si>
    <t>TMUS</t>
  </si>
  <si>
    <t>EBAY</t>
  </si>
  <si>
    <t>ARM</t>
  </si>
  <si>
    <t>PLTR</t>
  </si>
  <si>
    <t>AXON</t>
  </si>
  <si>
    <t>TSLA</t>
  </si>
  <si>
    <t>TTWO</t>
  </si>
  <si>
    <t>CSCO</t>
  </si>
  <si>
    <t>VRSN</t>
  </si>
  <si>
    <t>XEL</t>
  </si>
  <si>
    <t>CCEP</t>
  </si>
  <si>
    <t>FAST</t>
  </si>
  <si>
    <t>WBD</t>
  </si>
  <si>
    <t>GOOGL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</si>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</sst>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8.140625" style="3" bestFit="1" customWidth="1"/>
    <col min="5" max="5" width="15.7109375" customWidth="1"/>
  </cols>
  <sheetData>
    <row r="1" spans="1:14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/>
      <c r="H1" s="4"/>
      <c r="I1" s="4"/>
      <c r="J1" s="4"/>
      <c r="K1" s="4"/>
      <c r="L1" s="4"/>
      <c r="M1" s="4">
        <v>10000</v>
      </c>
      <c r="N1" s="4"/>
    </row>
    <row r="2" spans="1:14" x14ac:dyDescent="0.25">
      <c r="A2" s="3">
        <v>44918</v>
      </c>
      <c r="B2" t="s">
        <v>5</v>
      </c>
      <c r="C2" t="s">
        <v>6</v>
      </c>
      <c r="D2">
        <v>0.97900000000000009</v>
      </c>
      <c r="G2" s="4" t="str">
        <f>IF(C2="EXIT",J2/100*E2,"")</f>
        <v/>
      </c>
      <c r="H2" s="4"/>
      <c r="I2" s="4"/>
      <c r="J2" s="4" t="str" cm="1">
        <f t="array" ref="J2">IF(C2="EXIT",0.083*_xlfn.XLOOKUP(1,(B1:B$2=B2)*(C1:C$2="ENTRY"),M1:M$2,,0,-1),"")</f>
        <v/>
      </c>
      <c r="K2" s="4"/>
      <c r="L2" s="4"/>
      <c r="M2" s="4">
        <f>IFERROR(M1+G2-H2,M1)</f>
        <v>10000</v>
      </c>
      <c r="N2" s="4">
        <f>100/M$1*M2-100</f>
        <v>0</v>
      </c>
    </row>
    <row r="3" spans="1:14" x14ac:dyDescent="0.25">
      <c r="A3" s="3">
        <v>44918</v>
      </c>
      <c r="B3" t="s">
        <v>7</v>
      </c>
      <c r="C3" t="s">
        <v>6</v>
      </c>
      <c r="D3">
        <v>0.96890000000000009</v>
      </c>
      <c r="G3" s="4" t="str">
        <f t="shared" ref="G3:G66" si="0">IF(C3="EXIT",J3/100*E3,"")</f>
        <v/>
      </c>
      <c r="H3" s="4"/>
      <c r="I3" s="4"/>
      <c r="J3" s="4" t="str" cm="1">
        <f t="array" ref="J3">IF(C3="EXIT",0.083*_xlfn.XLOOKUP(1,(B2:B$2=B3)*(C2:C$2="ENTRY"),M2:M$2,,0,-1),"")</f>
        <v/>
      </c>
      <c r="K3" s="4"/>
      <c r="L3" s="4"/>
      <c r="M3" s="4">
        <f t="shared" ref="M3:M66" si="1">IFERROR(M2+G3-H3,M2)</f>
        <v>10000</v>
      </c>
      <c r="N3" s="4">
        <f t="shared" ref="N3:N66" si="2">100/M$1*M3-100</f>
        <v>0</v>
      </c>
    </row>
    <row r="4" spans="1:14" x14ac:dyDescent="0.25">
      <c r="A4" s="3">
        <v>44918</v>
      </c>
      <c r="B4" t="s">
        <v>8</v>
      </c>
      <c r="C4" t="s">
        <v>6</v>
      </c>
      <c r="D4">
        <v>0.94779999999999998</v>
      </c>
      <c r="G4" s="4" t="str">
        <f t="shared" si="0"/>
        <v/>
      </c>
      <c r="H4" s="4"/>
      <c r="I4" s="4"/>
      <c r="J4" s="4" t="str" cm="1">
        <f t="array" ref="J4">IF(C4="EXIT",0.083*_xlfn.XLOOKUP(1,(B$2:B3=B4)*(C$2:C3="ENTRY"),M$2:M3,,0,-1),"")</f>
        <v/>
      </c>
      <c r="K4" s="4"/>
      <c r="L4" s="4"/>
      <c r="M4" s="4">
        <f t="shared" si="1"/>
        <v>10000</v>
      </c>
      <c r="N4" s="4">
        <f t="shared" si="2"/>
        <v>0</v>
      </c>
    </row>
    <row r="5" spans="1:14" x14ac:dyDescent="0.25">
      <c r="A5" s="3">
        <v>44918</v>
      </c>
      <c r="B5" t="s">
        <v>9</v>
      </c>
      <c r="C5" t="s">
        <v>6</v>
      </c>
      <c r="D5">
        <v>0.9275000000000001</v>
      </c>
      <c r="G5" s="4" t="str">
        <f t="shared" si="0"/>
        <v/>
      </c>
      <c r="H5" s="4"/>
      <c r="I5" s="4"/>
      <c r="J5" s="4" t="str" cm="1">
        <f t="array" ref="J5">IF(C5="EXIT",0.083*_xlfn.XLOOKUP(1,(B$2:B4=B5)*(C$2:C4="ENTRY"),M$2:M4,,0,-1),"")</f>
        <v/>
      </c>
      <c r="K5" s="4"/>
      <c r="L5" s="4"/>
      <c r="M5" s="4">
        <f t="shared" si="1"/>
        <v>10000</v>
      </c>
      <c r="N5" s="4">
        <f t="shared" si="2"/>
        <v>0</v>
      </c>
    </row>
    <row r="6" spans="1:14" x14ac:dyDescent="0.25">
      <c r="A6" s="3">
        <v>44918</v>
      </c>
      <c r="B6" t="s">
        <v>10</v>
      </c>
      <c r="C6" t="s">
        <v>6</v>
      </c>
      <c r="D6">
        <v>0.91620000000000013</v>
      </c>
      <c r="G6" s="4" t="str">
        <f t="shared" si="0"/>
        <v/>
      </c>
      <c r="H6" s="4"/>
      <c r="I6" s="4"/>
      <c r="J6" s="4" t="str" cm="1">
        <f t="array" ref="J6">IF(C6="EXIT",0.083*_xlfn.XLOOKUP(1,(B$2:B5=B6)*(C$2:C5="ENTRY"),M$2:M5,,0,-1),"")</f>
        <v/>
      </c>
      <c r="K6" s="4"/>
      <c r="L6" s="4"/>
      <c r="M6" s="4">
        <f t="shared" si="1"/>
        <v>10000</v>
      </c>
      <c r="N6" s="4">
        <f t="shared" si="2"/>
        <v>0</v>
      </c>
    </row>
    <row r="7" spans="1:14" x14ac:dyDescent="0.25">
      <c r="A7" s="3">
        <v>44918</v>
      </c>
      <c r="B7" t="s">
        <v>11</v>
      </c>
      <c r="C7" t="s">
        <v>6</v>
      </c>
      <c r="D7">
        <v>0.89470000000000005</v>
      </c>
      <c r="G7" s="4" t="str">
        <f t="shared" si="0"/>
        <v/>
      </c>
      <c r="H7" s="4"/>
      <c r="I7" s="4"/>
      <c r="J7" s="4" t="str" cm="1">
        <f t="array" ref="J7">IF(C7="EXIT",0.083*_xlfn.XLOOKUP(1,(B$2:B6=B7)*(C$2:C6="ENTRY"),M$2:M6,,0,-1),"")</f>
        <v/>
      </c>
      <c r="K7" s="4"/>
      <c r="L7" s="4"/>
      <c r="M7" s="4">
        <f t="shared" si="1"/>
        <v>10000</v>
      </c>
      <c r="N7" s="4">
        <f t="shared" si="2"/>
        <v>0</v>
      </c>
    </row>
    <row r="8" spans="1:14" x14ac:dyDescent="0.25">
      <c r="A8" s="3">
        <v>44918</v>
      </c>
      <c r="B8" t="s">
        <v>12</v>
      </c>
      <c r="C8" t="s">
        <v>6</v>
      </c>
      <c r="D8">
        <v>0.88000000000000012</v>
      </c>
      <c r="G8" s="4" t="str">
        <f t="shared" si="0"/>
        <v/>
      </c>
      <c r="H8" s="4"/>
      <c r="I8" s="4"/>
      <c r="J8" s="4" t="str" cm="1">
        <f t="array" ref="J8">IF(C8="EXIT",0.083*_xlfn.XLOOKUP(1,(B$2:B7=B8)*(C$2:C7="ENTRY"),M$2:M7,,0,-1),"")</f>
        <v/>
      </c>
      <c r="K8" s="4"/>
      <c r="L8" s="4"/>
      <c r="M8" s="4">
        <f t="shared" si="1"/>
        <v>10000</v>
      </c>
      <c r="N8" s="4">
        <f t="shared" si="2"/>
        <v>0</v>
      </c>
    </row>
    <row r="9" spans="1:14" x14ac:dyDescent="0.25">
      <c r="A9" s="3">
        <v>44918</v>
      </c>
      <c r="B9" t="s">
        <v>13</v>
      </c>
      <c r="C9" t="s">
        <v>6</v>
      </c>
      <c r="D9">
        <v>0.85740000000000005</v>
      </c>
      <c r="G9" s="4" t="str">
        <f t="shared" si="0"/>
        <v/>
      </c>
      <c r="H9" s="4"/>
      <c r="I9" s="4"/>
      <c r="J9" s="4" t="str" cm="1">
        <f t="array" ref="J9">IF(C9="EXIT",0.083*_xlfn.XLOOKUP(1,(B$2:B8=B9)*(C$2:C8="ENTRY"),M$2:M8,,0,-1),"")</f>
        <v/>
      </c>
      <c r="K9" s="4"/>
      <c r="L9" s="4"/>
      <c r="M9" s="4">
        <f t="shared" si="1"/>
        <v>10000</v>
      </c>
      <c r="N9" s="4">
        <f t="shared" si="2"/>
        <v>0</v>
      </c>
    </row>
    <row r="10" spans="1:14" x14ac:dyDescent="0.25">
      <c r="A10" s="3">
        <v>44918</v>
      </c>
      <c r="B10" t="s">
        <v>14</v>
      </c>
      <c r="C10" t="s">
        <v>6</v>
      </c>
      <c r="D10">
        <v>0.84140000000000004</v>
      </c>
      <c r="G10" s="4" t="str">
        <f t="shared" si="0"/>
        <v/>
      </c>
      <c r="H10" s="4"/>
      <c r="I10" s="4"/>
      <c r="J10" s="4" t="str" cm="1">
        <f t="array" ref="J10">IF(C10="EXIT",0.083*_xlfn.XLOOKUP(1,(B$2:B9=B10)*(C$2:C9="ENTRY"),M$2:M9,,0,-1),"")</f>
        <v/>
      </c>
      <c r="K10" s="4"/>
      <c r="L10" s="4"/>
      <c r="M10" s="4">
        <f t="shared" si="1"/>
        <v>10000</v>
      </c>
      <c r="N10" s="4">
        <f t="shared" si="2"/>
        <v>0</v>
      </c>
    </row>
    <row r="11" spans="1:14" x14ac:dyDescent="0.25">
      <c r="A11" s="3">
        <v>44918</v>
      </c>
      <c r="B11" t="s">
        <v>15</v>
      </c>
      <c r="C11" t="s">
        <v>6</v>
      </c>
      <c r="D11">
        <v>0.83620000000000005</v>
      </c>
      <c r="G11" s="4" t="str">
        <f t="shared" si="0"/>
        <v/>
      </c>
      <c r="H11" s="4"/>
      <c r="I11" s="4"/>
      <c r="J11" s="4" t="str" cm="1">
        <f t="array" ref="J11">IF(C11="EXIT",0.083*_xlfn.XLOOKUP(1,(B$2:B10=B11)*(C$2:C10="ENTRY"),M$2:M10,,0,-1),"")</f>
        <v/>
      </c>
      <c r="K11" s="4"/>
      <c r="L11" s="4"/>
      <c r="M11" s="4">
        <f t="shared" si="1"/>
        <v>10000</v>
      </c>
      <c r="N11" s="4">
        <f t="shared" si="2"/>
        <v>0</v>
      </c>
    </row>
    <row r="12" spans="1:14" x14ac:dyDescent="0.25">
      <c r="A12" s="3">
        <v>44918</v>
      </c>
      <c r="B12" t="s">
        <v>16</v>
      </c>
      <c r="C12" t="s">
        <v>6</v>
      </c>
      <c r="D12">
        <v>0.81580000000000008</v>
      </c>
      <c r="G12" s="4" t="str">
        <f t="shared" si="0"/>
        <v/>
      </c>
      <c r="H12" s="4"/>
      <c r="I12" s="4"/>
      <c r="J12" s="4" t="str" cm="1">
        <f t="array" ref="J12">IF(C12="EXIT",0.083*_xlfn.XLOOKUP(1,(B$2:B11=B12)*(C$2:C11="ENTRY"),M$2:M11,,0,-1),"")</f>
        <v/>
      </c>
      <c r="K12" s="4"/>
      <c r="L12" s="4"/>
      <c r="M12" s="4">
        <f t="shared" si="1"/>
        <v>10000</v>
      </c>
      <c r="N12" s="4">
        <f t="shared" si="2"/>
        <v>0</v>
      </c>
    </row>
    <row r="13" spans="1:14" x14ac:dyDescent="0.25">
      <c r="A13" s="3">
        <v>44918</v>
      </c>
      <c r="B13" t="s">
        <v>17</v>
      </c>
      <c r="C13" t="s">
        <v>6</v>
      </c>
      <c r="D13">
        <v>0.80810000000000004</v>
      </c>
      <c r="G13" s="4" t="str">
        <f t="shared" si="0"/>
        <v/>
      </c>
      <c r="H13" s="4"/>
      <c r="I13" s="4"/>
      <c r="J13" s="4" t="str" cm="1">
        <f t="array" ref="J13">IF(C13="EXIT",0.083*_xlfn.XLOOKUP(1,(B$2:B12=B13)*(C$2:C12="ENTRY"),M$2:M12,,0,-1),"")</f>
        <v/>
      </c>
      <c r="K13" s="4"/>
      <c r="L13" s="4"/>
      <c r="M13" s="4">
        <f t="shared" si="1"/>
        <v>10000</v>
      </c>
      <c r="N13" s="4">
        <f t="shared" si="2"/>
        <v>0</v>
      </c>
    </row>
    <row r="14" spans="1:14" x14ac:dyDescent="0.25">
      <c r="A14" s="3">
        <v>44932</v>
      </c>
      <c r="B14" t="s">
        <v>17</v>
      </c>
      <c r="C14" t="s">
        <v>18</v>
      </c>
      <c r="D14">
        <v>0.73990000000000011</v>
      </c>
      <c r="E14">
        <v>5.3525438992945151</v>
      </c>
      <c r="G14" s="4">
        <f t="shared" si="0"/>
        <v>44.426114364144482</v>
      </c>
      <c r="H14" s="4">
        <f>IFERROR(G14*0.256,"")</f>
        <v>11.373085277220987</v>
      </c>
      <c r="I14" s="4"/>
      <c r="J14" s="4" cm="1">
        <f t="array" ref="J14">IF(C14="EXIT",0.083*_xlfn.XLOOKUP(1,(B$2:B13=B14)*(C$2:C13="ENTRY"),M$2:M13,,0,-1),"")</f>
        <v>830</v>
      </c>
      <c r="K14" s="4"/>
      <c r="L14" s="4"/>
      <c r="M14" s="4">
        <f>IFERROR(M13+G14-H14,M13)</f>
        <v>10033.053029086925</v>
      </c>
      <c r="N14" s="4">
        <f t="shared" si="2"/>
        <v>0.33053029086924823</v>
      </c>
    </row>
    <row r="15" spans="1:14" x14ac:dyDescent="0.25">
      <c r="A15" s="3">
        <v>44932</v>
      </c>
      <c r="B15" t="s">
        <v>19</v>
      </c>
      <c r="C15" t="s">
        <v>6</v>
      </c>
      <c r="D15">
        <v>0.90170000000000006</v>
      </c>
      <c r="G15" s="4" t="str">
        <f t="shared" si="0"/>
        <v/>
      </c>
      <c r="H15" s="4" t="str">
        <f t="shared" ref="H15:H78" si="3">IFERROR(G15*0.256,"")</f>
        <v/>
      </c>
      <c r="I15" s="4"/>
      <c r="J15" s="4" t="str" cm="1">
        <f t="array" ref="J15">IF(C15="EXIT",0.083*_xlfn.XLOOKUP(1,(B$2:B14=B15)*(C$2:C14="ENTRY"),M$2:M14,,0,-1),"")</f>
        <v/>
      </c>
      <c r="K15" s="4"/>
      <c r="L15" s="4"/>
      <c r="M15" s="4">
        <f t="shared" si="1"/>
        <v>10033.053029086925</v>
      </c>
      <c r="N15" s="4">
        <f t="shared" si="2"/>
        <v>0.33053029086924823</v>
      </c>
    </row>
    <row r="16" spans="1:14" x14ac:dyDescent="0.25">
      <c r="A16" s="3">
        <v>44946</v>
      </c>
      <c r="B16" t="s">
        <v>20</v>
      </c>
      <c r="C16" t="s">
        <v>6</v>
      </c>
      <c r="D16">
        <v>0.89792079207920794</v>
      </c>
      <c r="G16" s="4" t="str">
        <f t="shared" si="0"/>
        <v/>
      </c>
      <c r="H16" s="4" t="str">
        <f t="shared" si="3"/>
        <v/>
      </c>
      <c r="I16" s="4"/>
      <c r="J16" s="4" t="str" cm="1">
        <f t="array" ref="J16">IF(C16="EXIT",0.083*_xlfn.XLOOKUP(1,(B$2:B15=B16)*(C$2:C15="ENTRY"),M$2:M15,,0,-1),"")</f>
        <v/>
      </c>
      <c r="K16" s="4"/>
      <c r="L16" s="4"/>
      <c r="M16" s="4">
        <f t="shared" si="1"/>
        <v>10033.053029086925</v>
      </c>
      <c r="N16" s="4">
        <f t="shared" si="2"/>
        <v>0.33053029086924823</v>
      </c>
    </row>
    <row r="17" spans="1:14" x14ac:dyDescent="0.25">
      <c r="A17" s="3">
        <v>44946</v>
      </c>
      <c r="B17" t="s">
        <v>21</v>
      </c>
      <c r="C17" t="s">
        <v>6</v>
      </c>
      <c r="D17">
        <v>0.89841584158415844</v>
      </c>
      <c r="G17" s="4" t="str">
        <f t="shared" si="0"/>
        <v/>
      </c>
      <c r="H17" s="4" t="str">
        <f t="shared" si="3"/>
        <v/>
      </c>
      <c r="I17" s="4"/>
      <c r="J17" s="4" t="str" cm="1">
        <f t="array" ref="J17">IF(C17="EXIT",0.083*_xlfn.XLOOKUP(1,(B$2:B16=B17)*(C$2:C16="ENTRY"),M$2:M16,,0,-1),"")</f>
        <v/>
      </c>
      <c r="K17" s="4"/>
      <c r="L17" s="4"/>
      <c r="M17" s="4">
        <f t="shared" si="1"/>
        <v>10033.053029086925</v>
      </c>
      <c r="N17" s="4">
        <f t="shared" si="2"/>
        <v>0.33053029086924823</v>
      </c>
    </row>
    <row r="18" spans="1:14" x14ac:dyDescent="0.25">
      <c r="A18" s="3">
        <v>44946</v>
      </c>
      <c r="B18" t="s">
        <v>13</v>
      </c>
      <c r="C18" t="s">
        <v>18</v>
      </c>
      <c r="E18">
        <v>-5.5360640938475481</v>
      </c>
      <c r="G18" s="4">
        <f t="shared" si="0"/>
        <v>-45.949331978934651</v>
      </c>
      <c r="H18" s="4">
        <f t="shared" si="3"/>
        <v>-11.763028986607271</v>
      </c>
      <c r="I18" s="4"/>
      <c r="J18" s="4" cm="1">
        <f t="array" ref="J18">IF(C18="EXIT",0.083*_xlfn.XLOOKUP(1,(B$2:B17=B18)*(C$2:C17="ENTRY"),M$2:M17,,0,-1),"")</f>
        <v>830</v>
      </c>
      <c r="K18" s="4"/>
      <c r="L18" s="4"/>
      <c r="M18" s="4">
        <f t="shared" si="1"/>
        <v>9998.8667260945967</v>
      </c>
      <c r="N18" s="4">
        <f t="shared" si="2"/>
        <v>-1.133273905402632E-2</v>
      </c>
    </row>
    <row r="19" spans="1:14" x14ac:dyDescent="0.25">
      <c r="A19" s="3">
        <v>44946</v>
      </c>
      <c r="B19" t="s">
        <v>14</v>
      </c>
      <c r="C19" t="s">
        <v>18</v>
      </c>
      <c r="E19">
        <v>-4.5249794744640406</v>
      </c>
      <c r="G19" s="4">
        <f t="shared" si="0"/>
        <v>-37.557329638051542</v>
      </c>
      <c r="H19" s="4">
        <f t="shared" si="3"/>
        <v>-9.6146763873411949</v>
      </c>
      <c r="I19" s="4"/>
      <c r="J19" s="4" cm="1">
        <f t="array" ref="J19">IF(C19="EXIT",0.083*_xlfn.XLOOKUP(1,(B$2:B18=B19)*(C$2:C18="ENTRY"),M$2:M18,,0,-1),"")</f>
        <v>830</v>
      </c>
      <c r="K19" s="4"/>
      <c r="L19" s="4"/>
      <c r="M19" s="4">
        <f t="shared" si="1"/>
        <v>9970.9240728438854</v>
      </c>
      <c r="N19" s="4">
        <f t="shared" si="2"/>
        <v>-0.2907592715611429</v>
      </c>
    </row>
    <row r="20" spans="1:14" x14ac:dyDescent="0.25">
      <c r="A20" s="3">
        <v>44953</v>
      </c>
      <c r="B20" t="s">
        <v>16</v>
      </c>
      <c r="C20" t="s">
        <v>18</v>
      </c>
      <c r="E20">
        <v>-3.8913504031458319</v>
      </c>
      <c r="G20" s="4">
        <f t="shared" si="0"/>
        <v>-32.298208346110407</v>
      </c>
      <c r="H20" s="4">
        <f t="shared" si="3"/>
        <v>-8.268341336604264</v>
      </c>
      <c r="I20" s="4"/>
      <c r="J20" s="4" cm="1">
        <f t="array" ref="J20">IF(C20="EXIT",0.083*_xlfn.XLOOKUP(1,(B$2:B19=B20)*(C$2:C19="ENTRY"),M$2:M19,,0,-1),"")</f>
        <v>830</v>
      </c>
      <c r="K20" s="4"/>
      <c r="L20" s="4"/>
      <c r="M20" s="4">
        <f t="shared" si="1"/>
        <v>9946.89420583438</v>
      </c>
      <c r="N20" s="4">
        <f t="shared" si="2"/>
        <v>-0.53105794165620068</v>
      </c>
    </row>
    <row r="21" spans="1:14" x14ac:dyDescent="0.25">
      <c r="A21" s="3">
        <v>44953</v>
      </c>
      <c r="B21" t="s">
        <v>22</v>
      </c>
      <c r="C21" t="s">
        <v>6</v>
      </c>
      <c r="D21">
        <v>0.89930693069306933</v>
      </c>
      <c r="G21" s="4" t="str">
        <f t="shared" si="0"/>
        <v/>
      </c>
      <c r="H21" s="4" t="str">
        <f t="shared" si="3"/>
        <v/>
      </c>
      <c r="I21" s="4"/>
      <c r="J21" s="4" t="str" cm="1">
        <f t="array" ref="J21">IF(C21="EXIT",0.083*_xlfn.XLOOKUP(1,(B$2:B20=B21)*(C$2:C20="ENTRY"),M$2:M20,,0,-1),"")</f>
        <v/>
      </c>
      <c r="K21" s="4"/>
      <c r="L21" s="4"/>
      <c r="M21" s="4">
        <f t="shared" si="1"/>
        <v>9946.89420583438</v>
      </c>
      <c r="N21" s="4">
        <f t="shared" si="2"/>
        <v>-0.53105794165620068</v>
      </c>
    </row>
    <row r="22" spans="1:14" x14ac:dyDescent="0.25">
      <c r="A22" s="3">
        <v>44960</v>
      </c>
      <c r="B22" t="s">
        <v>21</v>
      </c>
      <c r="C22" t="s">
        <v>18</v>
      </c>
      <c r="E22">
        <v>-10.686666761585069</v>
      </c>
      <c r="G22" s="4">
        <f t="shared" si="0"/>
        <v>-88.992512288225811</v>
      </c>
      <c r="H22" s="4">
        <f t="shared" si="3"/>
        <v>-22.782083145785808</v>
      </c>
      <c r="I22" s="4"/>
      <c r="J22" s="4" cm="1">
        <f t="array" ref="J22">IF(C22="EXIT",0.083*_xlfn.XLOOKUP(1,(B$2:B21=B22)*(C$2:C21="ENTRY"),M$2:M21,,0,-1),"")</f>
        <v>832.74340141421476</v>
      </c>
      <c r="K22" s="4"/>
      <c r="L22" s="4"/>
      <c r="M22" s="4">
        <f t="shared" si="1"/>
        <v>9880.6837766919416</v>
      </c>
      <c r="N22" s="4">
        <f t="shared" si="2"/>
        <v>-1.1931622330805851</v>
      </c>
    </row>
    <row r="23" spans="1:14" x14ac:dyDescent="0.25">
      <c r="A23" s="3">
        <v>44960</v>
      </c>
      <c r="B23" t="s">
        <v>20</v>
      </c>
      <c r="C23" t="s">
        <v>18</v>
      </c>
      <c r="D23">
        <v>0.7404950495049506</v>
      </c>
      <c r="E23">
        <v>-2.8466329164941739</v>
      </c>
      <c r="G23" s="4">
        <f t="shared" si="0"/>
        <v>-23.705147774590248</v>
      </c>
      <c r="H23" s="4">
        <f t="shared" si="3"/>
        <v>-6.0685178302951037</v>
      </c>
      <c r="I23" s="4"/>
      <c r="J23" s="4" cm="1">
        <f t="array" ref="J23">IF(C23="EXIT",0.083*_xlfn.XLOOKUP(1,(B$2:B22=B23)*(C$2:C22="ENTRY"),M$2:M22,,0,-1),"")</f>
        <v>832.74340141421476</v>
      </c>
      <c r="K23" s="4"/>
      <c r="L23" s="4"/>
      <c r="M23" s="4">
        <f t="shared" si="1"/>
        <v>9863.0471467476473</v>
      </c>
      <c r="N23" s="4">
        <f t="shared" si="2"/>
        <v>-1.3695285325235318</v>
      </c>
    </row>
    <row r="24" spans="1:14" x14ac:dyDescent="0.25">
      <c r="A24" s="3">
        <v>44960</v>
      </c>
      <c r="B24" t="s">
        <v>23</v>
      </c>
      <c r="C24" t="s">
        <v>6</v>
      </c>
      <c r="D24">
        <v>0.92168316831683172</v>
      </c>
      <c r="G24" s="4" t="str">
        <f t="shared" si="0"/>
        <v/>
      </c>
      <c r="H24" s="4" t="str">
        <f t="shared" si="3"/>
        <v/>
      </c>
      <c r="I24" s="4"/>
      <c r="J24" s="4" t="str" cm="1">
        <f t="array" ref="J24">IF(C24="EXIT",0.083*_xlfn.XLOOKUP(1,(B$2:B23=B24)*(C$2:C23="ENTRY"),M$2:M23,,0,-1),"")</f>
        <v/>
      </c>
      <c r="K24" s="4"/>
      <c r="L24" s="4"/>
      <c r="M24" s="4">
        <f t="shared" si="1"/>
        <v>9863.0471467476473</v>
      </c>
      <c r="N24" s="4">
        <f t="shared" si="2"/>
        <v>-1.3695285325235318</v>
      </c>
    </row>
    <row r="25" spans="1:14" x14ac:dyDescent="0.25">
      <c r="A25" s="3">
        <v>44960</v>
      </c>
      <c r="B25" t="s">
        <v>24</v>
      </c>
      <c r="C25" t="s">
        <v>6</v>
      </c>
      <c r="D25">
        <v>0.90316831683168319</v>
      </c>
      <c r="G25" s="4" t="str">
        <f t="shared" si="0"/>
        <v/>
      </c>
      <c r="H25" s="4" t="str">
        <f t="shared" si="3"/>
        <v/>
      </c>
      <c r="I25" s="4"/>
      <c r="J25" s="4" t="str" cm="1">
        <f t="array" ref="J25">IF(C25="EXIT",0.083*_xlfn.XLOOKUP(1,(B$2:B24=B25)*(C$2:C24="ENTRY"),M$2:M24,,0,-1),"")</f>
        <v/>
      </c>
      <c r="K25" s="4"/>
      <c r="L25" s="4"/>
      <c r="M25" s="4">
        <f t="shared" si="1"/>
        <v>9863.0471467476473</v>
      </c>
      <c r="N25" s="4">
        <f t="shared" si="2"/>
        <v>-1.3695285325235318</v>
      </c>
    </row>
    <row r="26" spans="1:14" x14ac:dyDescent="0.25">
      <c r="A26" s="3">
        <v>44988</v>
      </c>
      <c r="B26" t="s">
        <v>15</v>
      </c>
      <c r="C26" t="s">
        <v>18</v>
      </c>
      <c r="D26">
        <v>0.7612871287128713</v>
      </c>
      <c r="E26">
        <v>7.232303660243522</v>
      </c>
      <c r="G26" s="4">
        <f t="shared" si="0"/>
        <v>60.028120380021235</v>
      </c>
      <c r="H26" s="4">
        <f t="shared" si="3"/>
        <v>15.367198817285436</v>
      </c>
      <c r="I26" s="4"/>
      <c r="J26" s="4" cm="1">
        <f t="array" ref="J26">IF(C26="EXIT",0.083*_xlfn.XLOOKUP(1,(B$2:B25=B26)*(C$2:C25="ENTRY"),M$2:M25,,0,-1),"")</f>
        <v>830</v>
      </c>
      <c r="K26" s="4"/>
      <c r="L26" s="4"/>
      <c r="M26" s="4">
        <f t="shared" si="1"/>
        <v>9907.7080683103832</v>
      </c>
      <c r="N26" s="4">
        <f t="shared" si="2"/>
        <v>-0.92291931689617002</v>
      </c>
    </row>
    <row r="27" spans="1:14" x14ac:dyDescent="0.25">
      <c r="A27" s="3">
        <v>44988</v>
      </c>
      <c r="B27" t="s">
        <v>25</v>
      </c>
      <c r="C27" t="s">
        <v>6</v>
      </c>
      <c r="D27">
        <v>0.92267326732673272</v>
      </c>
      <c r="G27" s="4" t="str">
        <f t="shared" si="0"/>
        <v/>
      </c>
      <c r="H27" s="4" t="str">
        <f t="shared" si="3"/>
        <v/>
      </c>
      <c r="I27" s="4"/>
      <c r="J27" s="4" t="str" cm="1">
        <f t="array" ref="J27">IF(C27="EXIT",0.083*_xlfn.XLOOKUP(1,(B$2:B26=B27)*(C$2:C26="ENTRY"),M$2:M26,,0,-1),"")</f>
        <v/>
      </c>
      <c r="K27" s="4"/>
      <c r="L27" s="4"/>
      <c r="M27" s="4">
        <f t="shared" si="1"/>
        <v>9907.7080683103832</v>
      </c>
      <c r="N27" s="4">
        <f t="shared" si="2"/>
        <v>-0.92291931689617002</v>
      </c>
    </row>
    <row r="28" spans="1:14" x14ac:dyDescent="0.25">
      <c r="A28" s="3">
        <v>45002</v>
      </c>
      <c r="B28" t="s">
        <v>9</v>
      </c>
      <c r="C28" t="s">
        <v>18</v>
      </c>
      <c r="E28">
        <v>-4.2804857605457496</v>
      </c>
      <c r="G28" s="4">
        <f t="shared" si="0"/>
        <v>-35.528031812529726</v>
      </c>
      <c r="H28" s="4">
        <f t="shared" si="3"/>
        <v>-9.0951761440076098</v>
      </c>
      <c r="I28" s="4"/>
      <c r="J28" s="4" cm="1">
        <f t="array" ref="J28">IF(C28="EXIT",0.083*_xlfn.XLOOKUP(1,(B$2:B27=B28)*(C$2:C27="ENTRY"),M$2:M27,,0,-1),"")</f>
        <v>830</v>
      </c>
      <c r="K28" s="4"/>
      <c r="L28" s="4"/>
      <c r="M28" s="4">
        <f t="shared" si="1"/>
        <v>9881.2752126418618</v>
      </c>
      <c r="N28" s="4">
        <f t="shared" si="2"/>
        <v>-1.1872478735813843</v>
      </c>
    </row>
    <row r="29" spans="1:14" x14ac:dyDescent="0.25">
      <c r="A29" s="3">
        <v>45002</v>
      </c>
      <c r="B29" t="s">
        <v>26</v>
      </c>
      <c r="C29" t="s">
        <v>6</v>
      </c>
      <c r="D29">
        <v>0.91277227722772281</v>
      </c>
      <c r="G29" s="4" t="str">
        <f t="shared" si="0"/>
        <v/>
      </c>
      <c r="H29" s="4" t="str">
        <f t="shared" si="3"/>
        <v/>
      </c>
      <c r="I29" s="4"/>
      <c r="J29" s="4" t="str" cm="1">
        <f t="array" ref="J29">IF(C29="EXIT",0.083*_xlfn.XLOOKUP(1,(B$2:B28=B29)*(C$2:C28="ENTRY"),M$2:M28,,0,-1),"")</f>
        <v/>
      </c>
      <c r="K29" s="4"/>
      <c r="L29" s="4"/>
      <c r="M29" s="4">
        <f t="shared" si="1"/>
        <v>9881.2752126418618</v>
      </c>
      <c r="N29" s="4">
        <f t="shared" si="2"/>
        <v>-1.1872478735813843</v>
      </c>
    </row>
    <row r="30" spans="1:14" x14ac:dyDescent="0.25">
      <c r="A30" s="3">
        <v>45009</v>
      </c>
      <c r="B30" t="s">
        <v>27</v>
      </c>
      <c r="C30" t="s">
        <v>6</v>
      </c>
      <c r="D30">
        <v>0.85514851485148513</v>
      </c>
      <c r="G30" s="4" t="str">
        <f t="shared" si="0"/>
        <v/>
      </c>
      <c r="H30" s="4" t="str">
        <f t="shared" si="3"/>
        <v/>
      </c>
      <c r="I30" s="4"/>
      <c r="J30" s="4" t="str" cm="1">
        <f t="array" ref="J30">IF(C30="EXIT",0.083*_xlfn.XLOOKUP(1,(B$2:B29=B30)*(C$2:C29="ENTRY"),M$2:M29,,0,-1),"")</f>
        <v/>
      </c>
      <c r="K30" s="4"/>
      <c r="L30" s="4"/>
      <c r="M30" s="4">
        <f t="shared" si="1"/>
        <v>9881.2752126418618</v>
      </c>
      <c r="N30" s="4">
        <f t="shared" si="2"/>
        <v>-1.1872478735813843</v>
      </c>
    </row>
    <row r="31" spans="1:14" x14ac:dyDescent="0.25">
      <c r="A31" s="3">
        <v>45009</v>
      </c>
      <c r="B31" t="s">
        <v>28</v>
      </c>
      <c r="C31" t="s">
        <v>6</v>
      </c>
      <c r="D31">
        <v>0.87881188118811882</v>
      </c>
      <c r="G31" s="4" t="str">
        <f t="shared" si="0"/>
        <v/>
      </c>
      <c r="H31" s="4" t="str">
        <f t="shared" si="3"/>
        <v/>
      </c>
      <c r="I31" s="4"/>
      <c r="J31" s="4" t="str" cm="1">
        <f t="array" ref="J31">IF(C31="EXIT",0.083*_xlfn.XLOOKUP(1,(B$2:B30=B31)*(C$2:C30="ENTRY"),M$2:M30,,0,-1),"")</f>
        <v/>
      </c>
      <c r="K31" s="4"/>
      <c r="L31" s="4"/>
      <c r="M31" s="4">
        <f t="shared" si="1"/>
        <v>9881.2752126418618</v>
      </c>
      <c r="N31" s="4">
        <f t="shared" si="2"/>
        <v>-1.1872478735813843</v>
      </c>
    </row>
    <row r="32" spans="1:14" x14ac:dyDescent="0.25">
      <c r="A32" s="3">
        <v>45009</v>
      </c>
      <c r="B32" t="s">
        <v>29</v>
      </c>
      <c r="C32" t="s">
        <v>6</v>
      </c>
      <c r="D32">
        <v>0.89009900990099011</v>
      </c>
      <c r="G32" s="4" t="str">
        <f t="shared" si="0"/>
        <v/>
      </c>
      <c r="H32" s="4" t="str">
        <f t="shared" si="3"/>
        <v/>
      </c>
      <c r="I32" s="4"/>
      <c r="J32" s="4" t="str" cm="1">
        <f t="array" ref="J32">IF(C32="EXIT",0.083*_xlfn.XLOOKUP(1,(B$2:B31=B32)*(C$2:C31="ENTRY"),M$2:M31,,0,-1),"")</f>
        <v/>
      </c>
      <c r="K32" s="4"/>
      <c r="L32" s="4"/>
      <c r="M32" s="4">
        <f t="shared" si="1"/>
        <v>9881.2752126418618</v>
      </c>
      <c r="N32" s="4">
        <f t="shared" si="2"/>
        <v>-1.1872478735813843</v>
      </c>
    </row>
    <row r="33" spans="1:14" x14ac:dyDescent="0.25">
      <c r="A33" s="3">
        <v>45009</v>
      </c>
      <c r="B33" t="s">
        <v>12</v>
      </c>
      <c r="C33" t="s">
        <v>18</v>
      </c>
      <c r="E33">
        <v>-3.2705275695093179</v>
      </c>
      <c r="G33" s="4">
        <f t="shared" si="0"/>
        <v>-27.145378826927342</v>
      </c>
      <c r="H33" s="4">
        <f t="shared" si="3"/>
        <v>-6.9492169796934</v>
      </c>
      <c r="I33" s="4"/>
      <c r="J33" s="4" cm="1">
        <f t="array" ref="J33">IF(C33="EXIT",0.083*_xlfn.XLOOKUP(1,(B$2:B32=B33)*(C$2:C32="ENTRY"),M$2:M32,,0,-1),"")</f>
        <v>830</v>
      </c>
      <c r="K33" s="4"/>
      <c r="L33" s="4"/>
      <c r="M33" s="4">
        <f t="shared" si="1"/>
        <v>9861.0790507946276</v>
      </c>
      <c r="N33" s="4">
        <f t="shared" si="2"/>
        <v>-1.3892094920537232</v>
      </c>
    </row>
    <row r="34" spans="1:14" x14ac:dyDescent="0.25">
      <c r="A34" s="3">
        <v>45009</v>
      </c>
      <c r="B34" t="s">
        <v>11</v>
      </c>
      <c r="C34" t="s">
        <v>18</v>
      </c>
      <c r="E34">
        <v>-11.970106474439071</v>
      </c>
      <c r="G34" s="4">
        <f t="shared" si="0"/>
        <v>-99.35188373784429</v>
      </c>
      <c r="H34" s="4">
        <f t="shared" si="3"/>
        <v>-25.434082236888138</v>
      </c>
      <c r="I34" s="4"/>
      <c r="J34" s="4" cm="1">
        <f t="array" ref="J34">IF(C34="EXIT",0.083*_xlfn.XLOOKUP(1,(B$2:B33=B34)*(C$2:C33="ENTRY"),M$2:M33,,0,-1),"")</f>
        <v>830</v>
      </c>
      <c r="K34" s="4"/>
      <c r="L34" s="4"/>
      <c r="M34" s="4">
        <f t="shared" si="1"/>
        <v>9787.1612492936711</v>
      </c>
      <c r="N34" s="4">
        <f t="shared" si="2"/>
        <v>-2.1283875070632803</v>
      </c>
    </row>
    <row r="35" spans="1:14" x14ac:dyDescent="0.25">
      <c r="A35" s="3">
        <v>45009</v>
      </c>
      <c r="B35" t="s">
        <v>19</v>
      </c>
      <c r="C35" t="s">
        <v>18</v>
      </c>
      <c r="E35">
        <v>-7.3645425248009992</v>
      </c>
      <c r="G35" s="4">
        <f t="shared" si="0"/>
        <v>-61.327741919624131</v>
      </c>
      <c r="H35" s="4">
        <f t="shared" si="3"/>
        <v>-15.699901931423778</v>
      </c>
      <c r="I35" s="4"/>
      <c r="J35" s="4" cm="1">
        <f t="array" ref="J35">IF(C35="EXIT",0.083*_xlfn.XLOOKUP(1,(B$2:B34=B35)*(C$2:C34="ENTRY"),M$2:M34,,0,-1),"")</f>
        <v>832.74340141421476</v>
      </c>
      <c r="K35" s="4"/>
      <c r="L35" s="4"/>
      <c r="M35" s="4">
        <f t="shared" si="1"/>
        <v>9741.5334093054717</v>
      </c>
      <c r="N35" s="4">
        <f t="shared" si="2"/>
        <v>-2.5846659069452755</v>
      </c>
    </row>
    <row r="36" spans="1:14" x14ac:dyDescent="0.25">
      <c r="A36" s="3">
        <v>45016</v>
      </c>
      <c r="B36" t="s">
        <v>8</v>
      </c>
      <c r="C36" t="s">
        <v>18</v>
      </c>
      <c r="D36">
        <v>0.74554455445544554</v>
      </c>
      <c r="E36">
        <v>-9.6751129019664095</v>
      </c>
      <c r="G36" s="4">
        <f t="shared" si="0"/>
        <v>-80.30343708632121</v>
      </c>
      <c r="H36" s="4">
        <f t="shared" si="3"/>
        <v>-20.557679894098229</v>
      </c>
      <c r="I36" s="4"/>
      <c r="J36" s="4" cm="1">
        <f t="array" ref="J36">IF(C36="EXIT",0.083*_xlfn.XLOOKUP(1,(B$2:B35=B36)*(C$2:C35="ENTRY"),M$2:M35,,0,-1),"")</f>
        <v>830</v>
      </c>
      <c r="K36" s="4"/>
      <c r="L36" s="4"/>
      <c r="M36" s="4">
        <f t="shared" si="1"/>
        <v>9681.7876521132494</v>
      </c>
      <c r="N36" s="4">
        <f t="shared" si="2"/>
        <v>-3.1821234788675099</v>
      </c>
    </row>
    <row r="37" spans="1:14" x14ac:dyDescent="0.25">
      <c r="A37" s="3">
        <v>45016</v>
      </c>
      <c r="B37" t="s">
        <v>30</v>
      </c>
      <c r="C37" t="s">
        <v>6</v>
      </c>
      <c r="D37">
        <v>0.89871287128712873</v>
      </c>
      <c r="G37" s="4" t="str">
        <f t="shared" si="0"/>
        <v/>
      </c>
      <c r="H37" s="4" t="str">
        <f t="shared" si="3"/>
        <v/>
      </c>
      <c r="I37" s="4"/>
      <c r="J37" s="4" t="str" cm="1">
        <f t="array" ref="J37">IF(C37="EXIT",0.083*_xlfn.XLOOKUP(1,(B$2:B36=B37)*(C$2:C36="ENTRY"),M$2:M36,,0,-1),"")</f>
        <v/>
      </c>
      <c r="K37" s="4"/>
      <c r="L37" s="4"/>
      <c r="M37" s="4">
        <f t="shared" si="1"/>
        <v>9681.7876521132494</v>
      </c>
      <c r="N37" s="4">
        <f t="shared" si="2"/>
        <v>-3.1821234788675099</v>
      </c>
    </row>
    <row r="38" spans="1:14" x14ac:dyDescent="0.25">
      <c r="A38" s="3">
        <v>45026</v>
      </c>
      <c r="B38" t="s">
        <v>10</v>
      </c>
      <c r="C38" t="s">
        <v>18</v>
      </c>
      <c r="D38">
        <v>0.72405940594059415</v>
      </c>
      <c r="E38">
        <v>4.3055558958721596</v>
      </c>
      <c r="G38" s="4">
        <f t="shared" si="0"/>
        <v>35.736113935738928</v>
      </c>
      <c r="H38" s="4">
        <f t="shared" si="3"/>
        <v>9.1484451675491663</v>
      </c>
      <c r="I38" s="4"/>
      <c r="J38" s="4" cm="1">
        <f t="array" ref="J38">IF(C38="EXIT",0.083*_xlfn.XLOOKUP(1,(B$2:B37=B38)*(C$2:C37="ENTRY"),M$2:M37,,0,-1),"")</f>
        <v>830</v>
      </c>
      <c r="K38" s="4"/>
      <c r="L38" s="4"/>
      <c r="M38" s="4">
        <f t="shared" si="1"/>
        <v>9708.3753208814378</v>
      </c>
      <c r="N38" s="4">
        <f t="shared" si="2"/>
        <v>-2.916246791185614</v>
      </c>
    </row>
    <row r="39" spans="1:14" x14ac:dyDescent="0.25">
      <c r="A39" s="3">
        <v>45026</v>
      </c>
      <c r="B39" t="s">
        <v>31</v>
      </c>
      <c r="C39" t="s">
        <v>6</v>
      </c>
      <c r="D39">
        <v>0.8803960396039604</v>
      </c>
      <c r="G39" s="4" t="str">
        <f t="shared" si="0"/>
        <v/>
      </c>
      <c r="H39" s="4" t="str">
        <f t="shared" si="3"/>
        <v/>
      </c>
      <c r="I39" s="4"/>
      <c r="J39" s="4" t="str" cm="1">
        <f t="array" ref="J39">IF(C39="EXIT",0.083*_xlfn.XLOOKUP(1,(B$2:B38=B39)*(C$2:C38="ENTRY"),M$2:M38,,0,-1),"")</f>
        <v/>
      </c>
      <c r="K39" s="4"/>
      <c r="L39" s="4"/>
      <c r="M39" s="4">
        <f t="shared" si="1"/>
        <v>9708.3753208814378</v>
      </c>
      <c r="N39" s="4">
        <f t="shared" si="2"/>
        <v>-2.916246791185614</v>
      </c>
    </row>
    <row r="40" spans="1:14" x14ac:dyDescent="0.25">
      <c r="A40" s="3">
        <v>45030</v>
      </c>
      <c r="B40" t="s">
        <v>29</v>
      </c>
      <c r="C40" t="s">
        <v>18</v>
      </c>
      <c r="D40">
        <v>0.7510891089108912</v>
      </c>
      <c r="E40">
        <v>-4.6343293790126143</v>
      </c>
      <c r="G40" s="4">
        <f t="shared" si="0"/>
        <v>-38.008259736645897</v>
      </c>
      <c r="H40" s="4">
        <f t="shared" si="3"/>
        <v>-9.7301144925813503</v>
      </c>
      <c r="I40" s="4"/>
      <c r="J40" s="4" cm="1">
        <f t="array" ref="J40">IF(C40="EXIT",0.083*_xlfn.XLOOKUP(1,(B$2:B39=B40)*(C$2:C39="ENTRY"),M$2:M39,,0,-1),"")</f>
        <v>820.14584264927453</v>
      </c>
      <c r="K40" s="4"/>
      <c r="L40" s="4"/>
      <c r="M40" s="4">
        <f t="shared" si="1"/>
        <v>9680.0971756373729</v>
      </c>
      <c r="N40" s="4">
        <f t="shared" si="2"/>
        <v>-3.1990282436262731</v>
      </c>
    </row>
    <row r="41" spans="1:14" x14ac:dyDescent="0.25">
      <c r="A41" s="3">
        <v>45030</v>
      </c>
      <c r="B41" t="s">
        <v>32</v>
      </c>
      <c r="C41" t="s">
        <v>6</v>
      </c>
      <c r="D41">
        <v>0.88</v>
      </c>
      <c r="G41" s="4" t="str">
        <f t="shared" si="0"/>
        <v/>
      </c>
      <c r="H41" s="4" t="str">
        <f t="shared" si="3"/>
        <v/>
      </c>
      <c r="I41" s="4"/>
      <c r="J41" s="4" t="str" cm="1">
        <f t="array" ref="J41">IF(C41="EXIT",0.083*_xlfn.XLOOKUP(1,(B$2:B40=B41)*(C$2:C40="ENTRY"),M$2:M40,,0,-1),"")</f>
        <v/>
      </c>
      <c r="K41" s="4"/>
      <c r="L41" s="4"/>
      <c r="M41" s="4">
        <f t="shared" si="1"/>
        <v>9680.0971756373729</v>
      </c>
      <c r="N41" s="4">
        <f t="shared" si="2"/>
        <v>-3.1990282436262731</v>
      </c>
    </row>
    <row r="42" spans="1:14" x14ac:dyDescent="0.25">
      <c r="A42" s="3">
        <v>45037</v>
      </c>
      <c r="B42" t="s">
        <v>23</v>
      </c>
      <c r="C42" t="s">
        <v>18</v>
      </c>
      <c r="D42">
        <v>0.74405940594059417</v>
      </c>
      <c r="E42">
        <v>-8.8391662502520614</v>
      </c>
      <c r="G42" s="4">
        <f t="shared" si="0"/>
        <v>-72.360324175266669</v>
      </c>
      <c r="H42" s="4">
        <f t="shared" si="3"/>
        <v>-18.524242988868266</v>
      </c>
      <c r="I42" s="4"/>
      <c r="J42" s="4" cm="1">
        <f t="array" ref="J42">IF(C42="EXIT",0.083*_xlfn.XLOOKUP(1,(B$2:B41=B42)*(C$2:C41="ENTRY"),M$2:M41,,0,-1),"")</f>
        <v>818.63291318005474</v>
      </c>
      <c r="K42" s="4"/>
      <c r="L42" s="4"/>
      <c r="M42" s="4">
        <f t="shared" si="1"/>
        <v>9626.2610944509743</v>
      </c>
      <c r="N42" s="4">
        <f t="shared" si="2"/>
        <v>-3.7373890554902545</v>
      </c>
    </row>
    <row r="43" spans="1:14" x14ac:dyDescent="0.25">
      <c r="A43" s="3">
        <v>45037</v>
      </c>
      <c r="B43" t="s">
        <v>19</v>
      </c>
      <c r="C43" t="s">
        <v>6</v>
      </c>
      <c r="D43">
        <v>0.9136633663366337</v>
      </c>
      <c r="G43" s="4" t="str">
        <f t="shared" si="0"/>
        <v/>
      </c>
      <c r="H43" s="4" t="str">
        <f t="shared" si="3"/>
        <v/>
      </c>
      <c r="I43" s="4"/>
      <c r="J43" s="4" t="str" cm="1">
        <f t="array" ref="J43">IF(C43="EXIT",0.083*_xlfn.XLOOKUP(1,(B$2:B42=B43)*(C$2:C42="ENTRY"),M$2:M42,,0,-1),"")</f>
        <v/>
      </c>
      <c r="K43" s="4"/>
      <c r="L43" s="4"/>
      <c r="M43" s="4">
        <f t="shared" si="1"/>
        <v>9626.2610944509743</v>
      </c>
      <c r="N43" s="4">
        <f t="shared" si="2"/>
        <v>-3.7373890554902545</v>
      </c>
    </row>
    <row r="44" spans="1:14" x14ac:dyDescent="0.25">
      <c r="A44" s="3">
        <v>45044</v>
      </c>
      <c r="B44" t="s">
        <v>33</v>
      </c>
      <c r="C44" t="s">
        <v>6</v>
      </c>
      <c r="D44">
        <v>0.87742574257425754</v>
      </c>
      <c r="G44" s="4" t="str">
        <f t="shared" si="0"/>
        <v/>
      </c>
      <c r="H44" s="4" t="str">
        <f t="shared" si="3"/>
        <v/>
      </c>
      <c r="I44" s="4"/>
      <c r="J44" s="4" t="str" cm="1">
        <f t="array" ref="J44">IF(C44="EXIT",0.083*_xlfn.XLOOKUP(1,(B$2:B43=B44)*(C$2:C43="ENTRY"),M$2:M43,,0,-1),"")</f>
        <v/>
      </c>
      <c r="K44" s="4"/>
      <c r="L44" s="4"/>
      <c r="M44" s="4">
        <f t="shared" si="1"/>
        <v>9626.2610944509743</v>
      </c>
      <c r="N44" s="4">
        <f t="shared" si="2"/>
        <v>-3.7373890554902545</v>
      </c>
    </row>
    <row r="45" spans="1:14" x14ac:dyDescent="0.25">
      <c r="A45" s="3">
        <v>45044</v>
      </c>
      <c r="B45" t="s">
        <v>34</v>
      </c>
      <c r="C45" t="s">
        <v>6</v>
      </c>
      <c r="D45">
        <v>0.86811881188118811</v>
      </c>
      <c r="G45" s="4" t="str">
        <f t="shared" si="0"/>
        <v/>
      </c>
      <c r="H45" s="4" t="str">
        <f t="shared" si="3"/>
        <v/>
      </c>
      <c r="I45" s="4"/>
      <c r="J45" s="4" t="str" cm="1">
        <f t="array" ref="J45">IF(C45="EXIT",0.083*_xlfn.XLOOKUP(1,(B$2:B44=B45)*(C$2:C44="ENTRY"),M$2:M44,,0,-1),"")</f>
        <v/>
      </c>
      <c r="K45" s="4"/>
      <c r="L45" s="4"/>
      <c r="M45" s="4">
        <f t="shared" si="1"/>
        <v>9626.2610944509743</v>
      </c>
      <c r="N45" s="4">
        <f t="shared" si="2"/>
        <v>-3.7373890554902545</v>
      </c>
    </row>
    <row r="46" spans="1:14" x14ac:dyDescent="0.25">
      <c r="A46" s="3">
        <v>45044</v>
      </c>
      <c r="B46" t="s">
        <v>35</v>
      </c>
      <c r="C46" t="s">
        <v>6</v>
      </c>
      <c r="D46">
        <v>0.88663366336633664</v>
      </c>
      <c r="G46" s="4" t="str">
        <f t="shared" si="0"/>
        <v/>
      </c>
      <c r="H46" s="4" t="str">
        <f t="shared" si="3"/>
        <v/>
      </c>
      <c r="I46" s="4"/>
      <c r="J46" s="4" t="str" cm="1">
        <f t="array" ref="J46">IF(C46="EXIT",0.083*_xlfn.XLOOKUP(1,(B$2:B45=B46)*(C$2:C45="ENTRY"),M$2:M45,,0,-1),"")</f>
        <v/>
      </c>
      <c r="K46" s="4"/>
      <c r="L46" s="4"/>
      <c r="M46" s="4">
        <f t="shared" si="1"/>
        <v>9626.2610944509743</v>
      </c>
      <c r="N46" s="4">
        <f t="shared" si="2"/>
        <v>-3.7373890554902545</v>
      </c>
    </row>
    <row r="47" spans="1:14" x14ac:dyDescent="0.25">
      <c r="A47" s="3">
        <v>45044</v>
      </c>
      <c r="B47" t="s">
        <v>24</v>
      </c>
      <c r="C47" t="s">
        <v>18</v>
      </c>
      <c r="E47">
        <v>-13.54284124112516</v>
      </c>
      <c r="G47" s="4">
        <f t="shared" si="0"/>
        <v>-110.86615577957279</v>
      </c>
      <c r="H47" s="4">
        <f t="shared" si="3"/>
        <v>-28.381735879570634</v>
      </c>
      <c r="I47" s="4"/>
      <c r="J47" s="4" cm="1">
        <f t="array" ref="J47">IF(C47="EXIT",0.083*_xlfn.XLOOKUP(1,(B$2:B46=B47)*(C$2:C46="ENTRY"),M$2:M46,,0,-1),"")</f>
        <v>818.63291318005474</v>
      </c>
      <c r="K47" s="4"/>
      <c r="L47" s="4"/>
      <c r="M47" s="4">
        <f t="shared" si="1"/>
        <v>9543.7766745509725</v>
      </c>
      <c r="N47" s="4">
        <f t="shared" si="2"/>
        <v>-4.5622332544902662</v>
      </c>
    </row>
    <row r="48" spans="1:14" x14ac:dyDescent="0.25">
      <c r="A48" s="3">
        <v>45044</v>
      </c>
      <c r="B48" t="s">
        <v>7</v>
      </c>
      <c r="C48" t="s">
        <v>18</v>
      </c>
      <c r="E48">
        <v>-2.0733271416567112</v>
      </c>
      <c r="G48" s="4">
        <f t="shared" si="0"/>
        <v>-17.208615275750706</v>
      </c>
      <c r="H48" s="4">
        <f t="shared" si="3"/>
        <v>-4.405405510592181</v>
      </c>
      <c r="I48" s="4"/>
      <c r="J48" s="4" cm="1">
        <f t="array" ref="J48">IF(C48="EXIT",0.083*_xlfn.XLOOKUP(1,(B$2:B47=B48)*(C$2:C47="ENTRY"),M$2:M47,,0,-1),"")</f>
        <v>830</v>
      </c>
      <c r="K48" s="4"/>
      <c r="L48" s="4"/>
      <c r="M48" s="4">
        <f t="shared" si="1"/>
        <v>9530.9734647858131</v>
      </c>
      <c r="N48" s="4">
        <f t="shared" si="2"/>
        <v>-4.6902653521418642</v>
      </c>
    </row>
    <row r="49" spans="1:14" x14ac:dyDescent="0.25">
      <c r="A49" s="3">
        <v>45044</v>
      </c>
      <c r="B49" t="s">
        <v>28</v>
      </c>
      <c r="C49" t="s">
        <v>18</v>
      </c>
      <c r="D49">
        <v>0.72376237623762385</v>
      </c>
      <c r="E49">
        <v>-4.1611133696058289</v>
      </c>
      <c r="G49" s="4">
        <f t="shared" si="0"/>
        <v>-34.127198308745349</v>
      </c>
      <c r="H49" s="4">
        <f t="shared" si="3"/>
        <v>-8.7365627670388104</v>
      </c>
      <c r="I49" s="4"/>
      <c r="J49" s="4" cm="1">
        <f t="array" ref="J49">IF(C49="EXIT",0.083*_xlfn.XLOOKUP(1,(B$2:B48=B49)*(C$2:C48="ENTRY"),M$2:M48,,0,-1),"")</f>
        <v>820.14584264927453</v>
      </c>
      <c r="K49" s="4"/>
      <c r="L49" s="4"/>
      <c r="M49" s="4">
        <f t="shared" si="1"/>
        <v>9505.5828292441074</v>
      </c>
      <c r="N49" s="4">
        <f t="shared" si="2"/>
        <v>-4.9441717075589224</v>
      </c>
    </row>
    <row r="50" spans="1:14" x14ac:dyDescent="0.25">
      <c r="A50" s="3">
        <v>45051</v>
      </c>
      <c r="B50" t="s">
        <v>35</v>
      </c>
      <c r="C50" t="s">
        <v>18</v>
      </c>
      <c r="E50">
        <v>-8.9346609520866256</v>
      </c>
      <c r="G50" s="4">
        <f t="shared" si="0"/>
        <v>-71.386124665600889</v>
      </c>
      <c r="H50" s="4">
        <f t="shared" si="3"/>
        <v>-18.274847914393828</v>
      </c>
      <c r="I50" s="4"/>
      <c r="J50" s="4" cm="1">
        <f t="array" ref="J50">IF(C50="EXIT",0.083*_xlfn.XLOOKUP(1,(B$2:B49=B50)*(C$2:C49="ENTRY"),M$2:M49,,0,-1),"")</f>
        <v>798.97967083943092</v>
      </c>
      <c r="K50" s="4"/>
      <c r="L50" s="4"/>
      <c r="M50" s="4">
        <f t="shared" si="1"/>
        <v>9452.4715524928997</v>
      </c>
      <c r="N50" s="4">
        <f t="shared" si="2"/>
        <v>-5.4752844750710068</v>
      </c>
    </row>
    <row r="51" spans="1:14" x14ac:dyDescent="0.25">
      <c r="A51" s="3">
        <v>45051</v>
      </c>
      <c r="B51" t="s">
        <v>33</v>
      </c>
      <c r="C51" t="s">
        <v>18</v>
      </c>
      <c r="D51">
        <v>0.76148514851485161</v>
      </c>
      <c r="E51">
        <v>-2.1731853826323029</v>
      </c>
      <c r="G51" s="4">
        <f t="shared" si="0"/>
        <v>-17.363309416886203</v>
      </c>
      <c r="H51" s="4">
        <f t="shared" si="3"/>
        <v>-4.445007210722868</v>
      </c>
      <c r="I51" s="4"/>
      <c r="J51" s="4" cm="1">
        <f t="array" ref="J51">IF(C51="EXIT",0.083*_xlfn.XLOOKUP(1,(B$2:B50=B51)*(C$2:C50="ENTRY"),M$2:M50,,0,-1),"")</f>
        <v>798.97967083943092</v>
      </c>
      <c r="K51" s="4"/>
      <c r="L51" s="4"/>
      <c r="M51" s="4">
        <f t="shared" si="1"/>
        <v>9439.5532502867372</v>
      </c>
      <c r="N51" s="4">
        <f t="shared" si="2"/>
        <v>-5.6044674971326316</v>
      </c>
    </row>
    <row r="52" spans="1:14" x14ac:dyDescent="0.25">
      <c r="A52" s="3">
        <v>45051</v>
      </c>
      <c r="B52" t="s">
        <v>36</v>
      </c>
      <c r="C52" t="s">
        <v>6</v>
      </c>
      <c r="D52">
        <v>0.93732673267326738</v>
      </c>
      <c r="G52" s="4" t="str">
        <f t="shared" si="0"/>
        <v/>
      </c>
      <c r="H52" s="4" t="str">
        <f t="shared" si="3"/>
        <v/>
      </c>
      <c r="I52" s="4"/>
      <c r="J52" s="4" t="str" cm="1">
        <f t="array" ref="J52">IF(C52="EXIT",0.083*_xlfn.XLOOKUP(1,(B$2:B51=B52)*(C$2:C51="ENTRY"),M$2:M51,,0,-1),"")</f>
        <v/>
      </c>
      <c r="K52" s="4"/>
      <c r="L52" s="4"/>
      <c r="M52" s="4">
        <f t="shared" si="1"/>
        <v>9439.5532502867372</v>
      </c>
      <c r="N52" s="4">
        <f t="shared" si="2"/>
        <v>-5.6044674971326316</v>
      </c>
    </row>
    <row r="53" spans="1:14" x14ac:dyDescent="0.25">
      <c r="A53" s="3">
        <v>45051</v>
      </c>
      <c r="B53" t="s">
        <v>9</v>
      </c>
      <c r="C53" t="s">
        <v>6</v>
      </c>
      <c r="D53">
        <v>0.90386138613861389</v>
      </c>
      <c r="G53" s="4" t="str">
        <f t="shared" si="0"/>
        <v/>
      </c>
      <c r="H53" s="4" t="str">
        <f t="shared" si="3"/>
        <v/>
      </c>
      <c r="I53" s="4"/>
      <c r="J53" s="4" t="str" cm="1">
        <f t="array" ref="J53">IF(C53="EXIT",0.083*_xlfn.XLOOKUP(1,(B$2:B52=B53)*(C$2:C52="ENTRY"),M$2:M52,,0,-1),"")</f>
        <v/>
      </c>
      <c r="K53" s="4"/>
      <c r="L53" s="4"/>
      <c r="M53" s="4">
        <f t="shared" si="1"/>
        <v>9439.5532502867372</v>
      </c>
      <c r="N53" s="4">
        <f t="shared" si="2"/>
        <v>-5.6044674971326316</v>
      </c>
    </row>
    <row r="54" spans="1:14" x14ac:dyDescent="0.25">
      <c r="A54" s="3">
        <v>45072</v>
      </c>
      <c r="B54" t="s">
        <v>25</v>
      </c>
      <c r="C54" t="s">
        <v>18</v>
      </c>
      <c r="E54">
        <v>-1.1170166325737749</v>
      </c>
      <c r="G54" s="4">
        <f t="shared" si="0"/>
        <v>-9.1856720034801107</v>
      </c>
      <c r="H54" s="4">
        <f t="shared" si="3"/>
        <v>-2.3515320328909084</v>
      </c>
      <c r="I54" s="4"/>
      <c r="J54" s="4" cm="1">
        <f t="array" ref="J54">IF(C54="EXIT",0.083*_xlfn.XLOOKUP(1,(B$2:B53=B54)*(C$2:C53="ENTRY"),M$2:M53,,0,-1),"")</f>
        <v>822.33976966976184</v>
      </c>
      <c r="K54" s="4"/>
      <c r="L54" s="4"/>
      <c r="M54" s="4">
        <f t="shared" si="1"/>
        <v>9432.7191103161495</v>
      </c>
      <c r="N54" s="4">
        <f t="shared" si="2"/>
        <v>-5.6728088968385038</v>
      </c>
    </row>
    <row r="55" spans="1:14" x14ac:dyDescent="0.25">
      <c r="A55" s="3">
        <v>45072</v>
      </c>
      <c r="B55" t="s">
        <v>19</v>
      </c>
      <c r="C55" t="s">
        <v>18</v>
      </c>
      <c r="E55">
        <v>-8.4752858430621529</v>
      </c>
      <c r="G55" s="4">
        <f t="shared" si="0"/>
        <v>-67.715810931598881</v>
      </c>
      <c r="H55" s="4">
        <f t="shared" si="3"/>
        <v>-17.335247598489314</v>
      </c>
      <c r="I55" s="4"/>
      <c r="J55" s="4" cm="1">
        <f t="array" ref="J55">IF(C55="EXIT",0.083*_xlfn.XLOOKUP(1,(B$2:B54=B55)*(C$2:C54="ENTRY"),M$2:M54,,0,-1),"")</f>
        <v>798.97967083943092</v>
      </c>
      <c r="K55" s="4"/>
      <c r="L55" s="4"/>
      <c r="M55" s="4">
        <f t="shared" si="1"/>
        <v>9382.3385469830391</v>
      </c>
      <c r="N55" s="4">
        <f t="shared" si="2"/>
        <v>-6.1766145301696014</v>
      </c>
    </row>
    <row r="56" spans="1:14" x14ac:dyDescent="0.25">
      <c r="A56" s="3">
        <v>45072</v>
      </c>
      <c r="B56" t="s">
        <v>34</v>
      </c>
      <c r="C56" t="s">
        <v>18</v>
      </c>
      <c r="E56">
        <v>-4.7179781062917758</v>
      </c>
      <c r="G56" s="4">
        <f t="shared" si="0"/>
        <v>-37.695685943926449</v>
      </c>
      <c r="H56" s="4">
        <f t="shared" si="3"/>
        <v>-9.6500956016451713</v>
      </c>
      <c r="I56" s="4"/>
      <c r="J56" s="4" cm="1">
        <f t="array" ref="J56">IF(C56="EXIT",0.083*_xlfn.XLOOKUP(1,(B$2:B55=B56)*(C$2:C55="ENTRY"),M$2:M55,,0,-1),"")</f>
        <v>798.97967083943092</v>
      </c>
      <c r="K56" s="4"/>
      <c r="L56" s="4"/>
      <c r="M56" s="4">
        <f t="shared" si="1"/>
        <v>9354.2929566407565</v>
      </c>
      <c r="N56" s="4">
        <f t="shared" si="2"/>
        <v>-6.4570704335924347</v>
      </c>
    </row>
    <row r="57" spans="1:14" x14ac:dyDescent="0.25">
      <c r="A57" s="3">
        <v>45072</v>
      </c>
      <c r="B57" t="s">
        <v>37</v>
      </c>
      <c r="C57" t="s">
        <v>6</v>
      </c>
      <c r="D57">
        <v>0.93445544554455451</v>
      </c>
      <c r="G57" s="4" t="str">
        <f t="shared" si="0"/>
        <v/>
      </c>
      <c r="H57" s="4" t="str">
        <f t="shared" si="3"/>
        <v/>
      </c>
      <c r="I57" s="4"/>
      <c r="J57" s="4" t="str" cm="1">
        <f t="array" ref="J57">IF(C57="EXIT",0.083*_xlfn.XLOOKUP(1,(B$2:B56=B57)*(C$2:C56="ENTRY"),M$2:M56,,0,-1),"")</f>
        <v/>
      </c>
      <c r="K57" s="4"/>
      <c r="L57" s="4"/>
      <c r="M57" s="4">
        <f t="shared" si="1"/>
        <v>9354.2929566407565</v>
      </c>
      <c r="N57" s="4">
        <f t="shared" si="2"/>
        <v>-6.4570704335924347</v>
      </c>
    </row>
    <row r="58" spans="1:14" x14ac:dyDescent="0.25">
      <c r="A58" s="3">
        <v>45072</v>
      </c>
      <c r="B58" t="s">
        <v>33</v>
      </c>
      <c r="C58" t="s">
        <v>6</v>
      </c>
      <c r="D58">
        <v>0.88425742574257427</v>
      </c>
      <c r="G58" s="4" t="str">
        <f t="shared" si="0"/>
        <v/>
      </c>
      <c r="H58" s="4" t="str">
        <f t="shared" si="3"/>
        <v/>
      </c>
      <c r="I58" s="4"/>
      <c r="J58" s="4" t="str" cm="1">
        <f t="array" ref="J58">IF(C58="EXIT",0.083*_xlfn.XLOOKUP(1,(B$2:B57=B58)*(C$2:C57="ENTRY"),M$2:M57,,0,-1),"")</f>
        <v/>
      </c>
      <c r="K58" s="4"/>
      <c r="L58" s="4"/>
      <c r="M58" s="4">
        <f t="shared" si="1"/>
        <v>9354.2929566407565</v>
      </c>
      <c r="N58" s="4">
        <f t="shared" si="2"/>
        <v>-6.4570704335924347</v>
      </c>
    </row>
    <row r="59" spans="1:14" x14ac:dyDescent="0.25">
      <c r="A59" s="3">
        <v>45072</v>
      </c>
      <c r="B59" t="s">
        <v>38</v>
      </c>
      <c r="C59" t="s">
        <v>6</v>
      </c>
      <c r="D59">
        <v>0.8696039603960396</v>
      </c>
      <c r="G59" s="4" t="str">
        <f t="shared" si="0"/>
        <v/>
      </c>
      <c r="H59" s="4" t="str">
        <f t="shared" si="3"/>
        <v/>
      </c>
      <c r="I59" s="4"/>
      <c r="J59" s="4" t="str" cm="1">
        <f t="array" ref="J59">IF(C59="EXIT",0.083*_xlfn.XLOOKUP(1,(B$2:B58=B59)*(C$2:C58="ENTRY"),M$2:M58,,0,-1),"")</f>
        <v/>
      </c>
      <c r="K59" s="4"/>
      <c r="L59" s="4"/>
      <c r="M59" s="4">
        <f t="shared" si="1"/>
        <v>9354.2929566407565</v>
      </c>
      <c r="N59" s="4">
        <f t="shared" si="2"/>
        <v>-6.4570704335924347</v>
      </c>
    </row>
    <row r="60" spans="1:14" x14ac:dyDescent="0.25">
      <c r="A60" s="3">
        <v>45079</v>
      </c>
      <c r="B60" t="s">
        <v>9</v>
      </c>
      <c r="C60" t="s">
        <v>18</v>
      </c>
      <c r="D60">
        <v>0.72247524752475256</v>
      </c>
      <c r="E60">
        <v>-4.8300313077014101</v>
      </c>
      <c r="G60" s="4">
        <f t="shared" si="0"/>
        <v>-37.842470315567624</v>
      </c>
      <c r="H60" s="4">
        <f t="shared" si="3"/>
        <v>-9.6876724007853117</v>
      </c>
      <c r="I60" s="4"/>
      <c r="J60" s="4" cm="1">
        <f t="array" ref="J60">IF(C60="EXIT",0.083*_xlfn.XLOOKUP(1,(B$2:B59=B60)*(C$2:C59="ENTRY"),M$2:M59,,0,-1),"")</f>
        <v>783.48291977379927</v>
      </c>
      <c r="K60" s="4"/>
      <c r="L60" s="4"/>
      <c r="M60" s="4">
        <f t="shared" si="1"/>
        <v>9326.1381587259748</v>
      </c>
      <c r="N60" s="4">
        <f t="shared" si="2"/>
        <v>-6.7386184127402515</v>
      </c>
    </row>
    <row r="61" spans="1:14" x14ac:dyDescent="0.25">
      <c r="A61" s="3">
        <v>45079</v>
      </c>
      <c r="B61" t="s">
        <v>39</v>
      </c>
      <c r="C61" t="s">
        <v>6</v>
      </c>
      <c r="D61">
        <v>0.88900990099009902</v>
      </c>
      <c r="G61" s="4" t="str">
        <f t="shared" si="0"/>
        <v/>
      </c>
      <c r="H61" s="4" t="str">
        <f t="shared" si="3"/>
        <v/>
      </c>
      <c r="I61" s="4"/>
      <c r="J61" s="4" t="str" cm="1">
        <f t="array" ref="J61">IF(C61="EXIT",0.083*_xlfn.XLOOKUP(1,(B$2:B60=B61)*(C$2:C60="ENTRY"),M$2:M60,,0,-1),"")</f>
        <v/>
      </c>
      <c r="K61" s="4"/>
      <c r="L61" s="4"/>
      <c r="M61" s="4">
        <f t="shared" si="1"/>
        <v>9326.1381587259748</v>
      </c>
      <c r="N61" s="4">
        <f t="shared" si="2"/>
        <v>-6.7386184127402515</v>
      </c>
    </row>
    <row r="62" spans="1:14" x14ac:dyDescent="0.25">
      <c r="A62" s="3">
        <v>45086</v>
      </c>
      <c r="B62" t="s">
        <v>23</v>
      </c>
      <c r="C62" t="s">
        <v>6</v>
      </c>
      <c r="D62">
        <v>0.90356435643564359</v>
      </c>
      <c r="G62" s="4" t="str">
        <f t="shared" si="0"/>
        <v/>
      </c>
      <c r="H62" s="4" t="str">
        <f t="shared" si="3"/>
        <v/>
      </c>
      <c r="I62" s="4"/>
      <c r="J62" s="4" t="str" cm="1">
        <f t="array" ref="J62">IF(C62="EXIT",0.083*_xlfn.XLOOKUP(1,(B$2:B61=B62)*(C$2:C61="ENTRY"),M$2:M61,,0,-1),"")</f>
        <v/>
      </c>
      <c r="K62" s="4"/>
      <c r="L62" s="4"/>
      <c r="M62" s="4">
        <f t="shared" si="1"/>
        <v>9326.1381587259748</v>
      </c>
      <c r="N62" s="4">
        <f t="shared" si="2"/>
        <v>-6.7386184127402515</v>
      </c>
    </row>
    <row r="63" spans="1:14" x14ac:dyDescent="0.25">
      <c r="A63" s="3">
        <v>45086</v>
      </c>
      <c r="B63" t="s">
        <v>22</v>
      </c>
      <c r="C63" t="s">
        <v>18</v>
      </c>
      <c r="E63">
        <v>11.392157778163581</v>
      </c>
      <c r="G63" s="4">
        <f t="shared" si="0"/>
        <v>94.052768202320095</v>
      </c>
      <c r="H63" s="4">
        <f t="shared" si="3"/>
        <v>24.077508659793946</v>
      </c>
      <c r="I63" s="4"/>
      <c r="J63" s="4" cm="1">
        <f t="array" ref="J63">IF(C63="EXIT",0.083*_xlfn.XLOOKUP(1,(B$2:B62=B63)*(C$2:C62="ENTRY"),M$2:M62,,0,-1),"")</f>
        <v>825.59221908425354</v>
      </c>
      <c r="K63" s="4"/>
      <c r="L63" s="4"/>
      <c r="M63" s="4">
        <f t="shared" si="1"/>
        <v>9396.1134182685018</v>
      </c>
      <c r="N63" s="4">
        <f t="shared" si="2"/>
        <v>-6.038865817314985</v>
      </c>
    </row>
    <row r="64" spans="1:14" x14ac:dyDescent="0.25">
      <c r="A64" s="3">
        <v>45107</v>
      </c>
      <c r="B64" t="s">
        <v>40</v>
      </c>
      <c r="C64" t="s">
        <v>6</v>
      </c>
      <c r="D64">
        <v>0.85742574257425741</v>
      </c>
      <c r="G64" s="4" t="str">
        <f t="shared" si="0"/>
        <v/>
      </c>
      <c r="H64" s="4" t="str">
        <f t="shared" si="3"/>
        <v/>
      </c>
      <c r="I64" s="4"/>
      <c r="J64" s="4" t="str" cm="1">
        <f t="array" ref="J64">IF(C64="EXIT",0.083*_xlfn.XLOOKUP(1,(B$2:B63=B64)*(C$2:C63="ENTRY"),M$2:M63,,0,-1),"")</f>
        <v/>
      </c>
      <c r="K64" s="4"/>
      <c r="L64" s="4"/>
      <c r="M64" s="4">
        <f t="shared" si="1"/>
        <v>9396.1134182685018</v>
      </c>
      <c r="N64" s="4">
        <f t="shared" si="2"/>
        <v>-6.038865817314985</v>
      </c>
    </row>
    <row r="65" spans="1:14" x14ac:dyDescent="0.25">
      <c r="A65" s="3">
        <v>45107</v>
      </c>
      <c r="B65" t="s">
        <v>38</v>
      </c>
      <c r="C65" t="s">
        <v>18</v>
      </c>
      <c r="D65">
        <v>0.74435643564356424</v>
      </c>
      <c r="E65">
        <v>-2.095655137720231</v>
      </c>
      <c r="G65" s="4">
        <f t="shared" si="0"/>
        <v>-16.270798838289231</v>
      </c>
      <c r="H65" s="4">
        <f t="shared" si="3"/>
        <v>-4.1653245026020436</v>
      </c>
      <c r="I65" s="4"/>
      <c r="J65" s="4" cm="1">
        <f t="array" ref="J65">IF(C65="EXIT",0.083*_xlfn.XLOOKUP(1,(B$2:B64=B65)*(C$2:C64="ENTRY"),M$2:M64,,0,-1),"")</f>
        <v>776.40631540118284</v>
      </c>
      <c r="K65" s="4"/>
      <c r="L65" s="4"/>
      <c r="M65" s="4">
        <f t="shared" si="1"/>
        <v>9384.0079439328147</v>
      </c>
      <c r="N65" s="4">
        <f t="shared" si="2"/>
        <v>-6.1599205606718499</v>
      </c>
    </row>
    <row r="66" spans="1:14" x14ac:dyDescent="0.25">
      <c r="A66" s="3">
        <v>45114</v>
      </c>
      <c r="B66" t="s">
        <v>31</v>
      </c>
      <c r="C66" t="s">
        <v>18</v>
      </c>
      <c r="E66">
        <v>-7.8138771519839834</v>
      </c>
      <c r="G66" s="4">
        <f t="shared" si="0"/>
        <v>-62.963843245258133</v>
      </c>
      <c r="H66" s="4">
        <f t="shared" si="3"/>
        <v>-16.118743870786084</v>
      </c>
      <c r="I66" s="4"/>
      <c r="J66" s="4" cm="1">
        <f t="array" ref="J66">IF(C66="EXIT",0.083*_xlfn.XLOOKUP(1,(B$2:B65=B66)*(C$2:C65="ENTRY"),M$2:M65,,0,-1),"")</f>
        <v>805.79515163315943</v>
      </c>
      <c r="K66" s="4"/>
      <c r="L66" s="4"/>
      <c r="M66" s="4">
        <f t="shared" si="1"/>
        <v>9337.1628445583428</v>
      </c>
      <c r="N66" s="4">
        <f t="shared" si="2"/>
        <v>-6.6283715544165744</v>
      </c>
    </row>
    <row r="67" spans="1:14" x14ac:dyDescent="0.25">
      <c r="A67" s="3">
        <v>45114</v>
      </c>
      <c r="B67" t="s">
        <v>41</v>
      </c>
      <c r="C67" t="s">
        <v>6</v>
      </c>
      <c r="D67">
        <v>0.86752475247524752</v>
      </c>
      <c r="G67" s="4" t="str">
        <f t="shared" ref="G67:G130" si="4">IF(C67="EXIT",J67/100*E67,"")</f>
        <v/>
      </c>
      <c r="H67" s="4" t="str">
        <f t="shared" si="3"/>
        <v/>
      </c>
      <c r="I67" s="4"/>
      <c r="J67" s="4" t="str" cm="1">
        <f t="array" ref="J67">IF(C67="EXIT",0.083*_xlfn.XLOOKUP(1,(B$2:B66=B67)*(C$2:C66="ENTRY"),M$2:M66,,0,-1),"")</f>
        <v/>
      </c>
      <c r="K67" s="4"/>
      <c r="L67" s="4"/>
      <c r="M67" s="4">
        <f t="shared" ref="M67:M130" si="5">IFERROR(M66+G67-H67,M66)</f>
        <v>9337.1628445583428</v>
      </c>
      <c r="N67" s="4">
        <f t="shared" ref="N67:N130" si="6">100/M$1*M67-100</f>
        <v>-6.6283715544165744</v>
      </c>
    </row>
    <row r="68" spans="1:14" x14ac:dyDescent="0.25">
      <c r="A68" s="3">
        <v>45135</v>
      </c>
      <c r="B68" t="s">
        <v>26</v>
      </c>
      <c r="C68" t="s">
        <v>18</v>
      </c>
      <c r="D68">
        <v>0.74663366336633663</v>
      </c>
      <c r="E68">
        <v>13.225057987527441</v>
      </c>
      <c r="G68" s="4">
        <f t="shared" si="4"/>
        <v>108.46476327266213</v>
      </c>
      <c r="H68" s="4">
        <f t="shared" si="3"/>
        <v>27.766979397801503</v>
      </c>
      <c r="I68" s="4"/>
      <c r="J68" s="4" cm="1">
        <f t="array" ref="J68">IF(C68="EXIT",0.083*_xlfn.XLOOKUP(1,(B$2:B67=B68)*(C$2:C67="ENTRY"),M$2:M67,,0,-1),"")</f>
        <v>820.14584264927453</v>
      </c>
      <c r="K68" s="4"/>
      <c r="L68" s="4"/>
      <c r="M68" s="4">
        <f t="shared" si="5"/>
        <v>9417.8606284332036</v>
      </c>
      <c r="N68" s="4">
        <f t="shared" si="6"/>
        <v>-5.8213937156679663</v>
      </c>
    </row>
    <row r="69" spans="1:14" x14ac:dyDescent="0.25">
      <c r="A69" s="3">
        <v>45135</v>
      </c>
      <c r="B69" t="s">
        <v>42</v>
      </c>
      <c r="C69" t="s">
        <v>6</v>
      </c>
      <c r="D69">
        <v>0.91425742574257429</v>
      </c>
      <c r="G69" s="4" t="str">
        <f t="shared" si="4"/>
        <v/>
      </c>
      <c r="H69" s="4" t="str">
        <f t="shared" si="3"/>
        <v/>
      </c>
      <c r="I69" s="4"/>
      <c r="J69" s="4" t="str" cm="1">
        <f t="array" ref="J69">IF(C69="EXIT",0.083*_xlfn.XLOOKUP(1,(B$2:B68=B69)*(C$2:C68="ENTRY"),M$2:M68,,0,-1),"")</f>
        <v/>
      </c>
      <c r="K69" s="4"/>
      <c r="L69" s="4"/>
      <c r="M69" s="4">
        <f t="shared" si="5"/>
        <v>9417.8606284332036</v>
      </c>
      <c r="N69" s="4">
        <f t="shared" si="6"/>
        <v>-5.8213937156679663</v>
      </c>
    </row>
    <row r="70" spans="1:14" x14ac:dyDescent="0.25">
      <c r="A70" s="3">
        <v>45142</v>
      </c>
      <c r="B70" t="s">
        <v>42</v>
      </c>
      <c r="C70" t="s">
        <v>18</v>
      </c>
      <c r="E70">
        <v>-26.080731507908052</v>
      </c>
      <c r="G70" s="4">
        <f t="shared" si="4"/>
        <v>-203.86849637612363</v>
      </c>
      <c r="H70" s="4">
        <f t="shared" si="3"/>
        <v>-52.190335072287652</v>
      </c>
      <c r="I70" s="4"/>
      <c r="J70" s="4" cm="1">
        <f t="array" ref="J70">IF(C70="EXIT",0.083*_xlfn.XLOOKUP(1,(B$2:B69=B70)*(C$2:C69="ENTRY"),M$2:M69,,0,-1),"")</f>
        <v>781.68243215995597</v>
      </c>
      <c r="K70" s="4"/>
      <c r="L70" s="4"/>
      <c r="M70" s="4">
        <f t="shared" si="5"/>
        <v>9266.1824671293671</v>
      </c>
      <c r="N70" s="4">
        <f t="shared" si="6"/>
        <v>-7.3381753287063276</v>
      </c>
    </row>
    <row r="71" spans="1:14" x14ac:dyDescent="0.25">
      <c r="A71" s="3">
        <v>45142</v>
      </c>
      <c r="B71" t="s">
        <v>25</v>
      </c>
      <c r="C71" t="s">
        <v>6</v>
      </c>
      <c r="D71">
        <v>0.92257425742574262</v>
      </c>
      <c r="G71" s="4" t="str">
        <f t="shared" si="4"/>
        <v/>
      </c>
      <c r="H71" s="4" t="str">
        <f t="shared" si="3"/>
        <v/>
      </c>
      <c r="I71" s="4"/>
      <c r="J71" s="4" t="str" cm="1">
        <f t="array" ref="J71">IF(C71="EXIT",0.083*_xlfn.XLOOKUP(1,(B$2:B70=B71)*(C$2:C70="ENTRY"),M$2:M70,,0,-1),"")</f>
        <v/>
      </c>
      <c r="K71" s="4"/>
      <c r="L71" s="4"/>
      <c r="M71" s="4">
        <f t="shared" si="5"/>
        <v>9266.1824671293671</v>
      </c>
      <c r="N71" s="4">
        <f t="shared" si="6"/>
        <v>-7.3381753287063276</v>
      </c>
    </row>
    <row r="72" spans="1:14" x14ac:dyDescent="0.25">
      <c r="A72" s="3">
        <v>45149</v>
      </c>
      <c r="B72" t="s">
        <v>43</v>
      </c>
      <c r="C72" t="s">
        <v>6</v>
      </c>
      <c r="D72">
        <v>0.84257425742574255</v>
      </c>
      <c r="G72" s="4" t="str">
        <f t="shared" si="4"/>
        <v/>
      </c>
      <c r="H72" s="4" t="str">
        <f t="shared" si="3"/>
        <v/>
      </c>
      <c r="I72" s="4"/>
      <c r="J72" s="4" t="str" cm="1">
        <f t="array" ref="J72">IF(C72="EXIT",0.083*_xlfn.XLOOKUP(1,(B$2:B71=B72)*(C$2:C71="ENTRY"),M$2:M71,,0,-1),"")</f>
        <v/>
      </c>
      <c r="K72" s="4"/>
      <c r="L72" s="4"/>
      <c r="M72" s="4">
        <f t="shared" si="5"/>
        <v>9266.1824671293671</v>
      </c>
      <c r="N72" s="4">
        <f t="shared" si="6"/>
        <v>-7.3381753287063276</v>
      </c>
    </row>
    <row r="73" spans="1:14" x14ac:dyDescent="0.25">
      <c r="A73" s="3">
        <v>45149</v>
      </c>
      <c r="B73" t="s">
        <v>44</v>
      </c>
      <c r="C73" t="s">
        <v>6</v>
      </c>
      <c r="D73">
        <v>0.92108910891089113</v>
      </c>
      <c r="G73" s="4" t="str">
        <f t="shared" si="4"/>
        <v/>
      </c>
      <c r="H73" s="4" t="str">
        <f t="shared" si="3"/>
        <v/>
      </c>
      <c r="I73" s="4"/>
      <c r="J73" s="4" t="str" cm="1">
        <f t="array" ref="J73">IF(C73="EXIT",0.083*_xlfn.XLOOKUP(1,(B$2:B72=B73)*(C$2:C72="ENTRY"),M$2:M72,,0,-1),"")</f>
        <v/>
      </c>
      <c r="K73" s="4"/>
      <c r="L73" s="4"/>
      <c r="M73" s="4">
        <f t="shared" si="5"/>
        <v>9266.1824671293671</v>
      </c>
      <c r="N73" s="4">
        <f t="shared" si="6"/>
        <v>-7.3381753287063276</v>
      </c>
    </row>
    <row r="74" spans="1:14" x14ac:dyDescent="0.25">
      <c r="A74" s="3">
        <v>45149</v>
      </c>
      <c r="B74" t="s">
        <v>39</v>
      </c>
      <c r="C74" t="s">
        <v>18</v>
      </c>
      <c r="E74">
        <v>0.51186004006871233</v>
      </c>
      <c r="G74" s="4">
        <f t="shared" si="4"/>
        <v>3.9621522848378143</v>
      </c>
      <c r="H74" s="4">
        <f t="shared" si="3"/>
        <v>1.0143109849184806</v>
      </c>
      <c r="I74" s="4"/>
      <c r="J74" s="4" cm="1">
        <f t="array" ref="J74">IF(C74="EXIT",0.083*_xlfn.XLOOKUP(1,(B$2:B73=B74)*(C$2:C73="ENTRY"),M$2:M73,,0,-1),"")</f>
        <v>774.06946717425592</v>
      </c>
      <c r="K74" s="4"/>
      <c r="L74" s="4"/>
      <c r="M74" s="4">
        <f t="shared" si="5"/>
        <v>9269.1303084292867</v>
      </c>
      <c r="N74" s="4">
        <f t="shared" si="6"/>
        <v>-7.3086969157071309</v>
      </c>
    </row>
    <row r="75" spans="1:14" x14ac:dyDescent="0.25">
      <c r="A75" s="3">
        <v>45149</v>
      </c>
      <c r="B75" t="s">
        <v>23</v>
      </c>
      <c r="C75" t="s">
        <v>18</v>
      </c>
      <c r="E75">
        <v>6.2345576960770366</v>
      </c>
      <c r="G75" s="4">
        <f t="shared" si="4"/>
        <v>48.259807538695078</v>
      </c>
      <c r="H75" s="4">
        <f t="shared" si="3"/>
        <v>12.35451072990594</v>
      </c>
      <c r="I75" s="4"/>
      <c r="J75" s="4" cm="1">
        <f t="array" ref="J75">IF(C75="EXIT",0.083*_xlfn.XLOOKUP(1,(B$2:B74=B75)*(C$2:C74="ENTRY"),M$2:M74,,0,-1),"")</f>
        <v>774.06946717425592</v>
      </c>
      <c r="K75" s="4"/>
      <c r="L75" s="4"/>
      <c r="M75" s="4">
        <f t="shared" si="5"/>
        <v>9305.0356052380776</v>
      </c>
      <c r="N75" s="4">
        <f t="shared" si="6"/>
        <v>-6.9496439476192222</v>
      </c>
    </row>
    <row r="76" spans="1:14" x14ac:dyDescent="0.25">
      <c r="A76" s="3">
        <v>45156</v>
      </c>
      <c r="B76" t="s">
        <v>41</v>
      </c>
      <c r="C76" t="s">
        <v>18</v>
      </c>
      <c r="E76">
        <v>-15.30756268712955</v>
      </c>
      <c r="G76" s="4">
        <f t="shared" si="4"/>
        <v>-118.63124061730139</v>
      </c>
      <c r="H76" s="4">
        <f t="shared" si="3"/>
        <v>-30.369597598029156</v>
      </c>
      <c r="I76" s="4"/>
      <c r="J76" s="4" cm="1">
        <f t="array" ref="J76">IF(C76="EXIT",0.083*_xlfn.XLOOKUP(1,(B$2:B75=B76)*(C$2:C75="ENTRY"),M$2:M75,,0,-1),"")</f>
        <v>774.98451609834251</v>
      </c>
      <c r="K76" s="4"/>
      <c r="L76" s="4"/>
      <c r="M76" s="4">
        <f t="shared" si="5"/>
        <v>9216.7739622188055</v>
      </c>
      <c r="N76" s="4">
        <f t="shared" si="6"/>
        <v>-7.8322603778119486</v>
      </c>
    </row>
    <row r="77" spans="1:14" x14ac:dyDescent="0.25">
      <c r="A77" s="3">
        <v>45156</v>
      </c>
      <c r="B77" t="s">
        <v>45</v>
      </c>
      <c r="C77" t="s">
        <v>6</v>
      </c>
      <c r="D77">
        <v>0.89376237623762378</v>
      </c>
      <c r="G77" s="4" t="str">
        <f t="shared" si="4"/>
        <v/>
      </c>
      <c r="H77" s="4" t="str">
        <f t="shared" si="3"/>
        <v/>
      </c>
      <c r="I77" s="4"/>
      <c r="J77" s="4" t="str" cm="1">
        <f t="array" ref="J77">IF(C77="EXIT",0.083*_xlfn.XLOOKUP(1,(B$2:B76=B77)*(C$2:C76="ENTRY"),M$2:M76,,0,-1),"")</f>
        <v/>
      </c>
      <c r="K77" s="4"/>
      <c r="L77" s="4"/>
      <c r="M77" s="4">
        <f t="shared" si="5"/>
        <v>9216.7739622188055</v>
      </c>
      <c r="N77" s="4">
        <f t="shared" si="6"/>
        <v>-7.8322603778119486</v>
      </c>
    </row>
    <row r="78" spans="1:14" x14ac:dyDescent="0.25">
      <c r="A78" s="3">
        <v>45170</v>
      </c>
      <c r="B78" t="s">
        <v>43</v>
      </c>
      <c r="C78" t="s">
        <v>18</v>
      </c>
      <c r="D78">
        <v>0.75</v>
      </c>
      <c r="E78">
        <v>0.68506026532015873</v>
      </c>
      <c r="G78" s="4">
        <f t="shared" si="4"/>
        <v>5.2687515381324168</v>
      </c>
      <c r="H78" s="4">
        <f t="shared" si="3"/>
        <v>1.3488003937618986</v>
      </c>
      <c r="I78" s="4"/>
      <c r="J78" s="4" cm="1">
        <f t="array" ref="J78">IF(C78="EXIT",0.083*_xlfn.XLOOKUP(1,(B$2:B77=B78)*(C$2:C77="ENTRY"),M$2:M77,,0,-1),"")</f>
        <v>769.09314477173746</v>
      </c>
      <c r="K78" s="4"/>
      <c r="L78" s="4"/>
      <c r="M78" s="4">
        <f t="shared" si="5"/>
        <v>9220.6939133631768</v>
      </c>
      <c r="N78" s="4">
        <f t="shared" si="6"/>
        <v>-7.7930608663682364</v>
      </c>
    </row>
    <row r="79" spans="1:14" x14ac:dyDescent="0.25">
      <c r="A79" s="3">
        <v>45170</v>
      </c>
      <c r="B79" t="s">
        <v>46</v>
      </c>
      <c r="C79" t="s">
        <v>6</v>
      </c>
      <c r="D79">
        <v>0.90504950495049508</v>
      </c>
      <c r="G79" s="4" t="str">
        <f t="shared" si="4"/>
        <v/>
      </c>
      <c r="H79" s="4" t="str">
        <f t="shared" ref="H79:H142" si="7">IFERROR(G79*0.256,"")</f>
        <v/>
      </c>
      <c r="I79" s="4"/>
      <c r="J79" s="4" t="str" cm="1">
        <f t="array" ref="J79">IF(C79="EXIT",0.083*_xlfn.XLOOKUP(1,(B$2:B78=B79)*(C$2:C78="ENTRY"),M$2:M78,,0,-1),"")</f>
        <v/>
      </c>
      <c r="K79" s="4"/>
      <c r="L79" s="4"/>
      <c r="M79" s="4">
        <f t="shared" si="5"/>
        <v>9220.6939133631768</v>
      </c>
      <c r="N79" s="4">
        <f t="shared" si="6"/>
        <v>-7.7930608663682364</v>
      </c>
    </row>
    <row r="80" spans="1:14" x14ac:dyDescent="0.25">
      <c r="A80" s="3">
        <v>45184</v>
      </c>
      <c r="B80" t="s">
        <v>47</v>
      </c>
      <c r="C80" t="s">
        <v>6</v>
      </c>
      <c r="D80">
        <v>0.85594059405940592</v>
      </c>
      <c r="G80" s="4" t="str">
        <f t="shared" si="4"/>
        <v/>
      </c>
      <c r="H80" s="4" t="str">
        <f t="shared" si="7"/>
        <v/>
      </c>
      <c r="I80" s="4"/>
      <c r="J80" s="4" t="str" cm="1">
        <f t="array" ref="J80">IF(C80="EXIT",0.083*_xlfn.XLOOKUP(1,(B$2:B79=B80)*(C$2:C79="ENTRY"),M$2:M79,,0,-1),"")</f>
        <v/>
      </c>
      <c r="K80" s="4"/>
      <c r="L80" s="4"/>
      <c r="M80" s="4">
        <f t="shared" si="5"/>
        <v>9220.6939133631768</v>
      </c>
      <c r="N80" s="4">
        <f t="shared" si="6"/>
        <v>-7.7930608663682364</v>
      </c>
    </row>
    <row r="81" spans="1:14" x14ac:dyDescent="0.25">
      <c r="A81" s="3">
        <v>45184</v>
      </c>
      <c r="B81" t="s">
        <v>48</v>
      </c>
      <c r="C81" t="s">
        <v>6</v>
      </c>
      <c r="D81">
        <v>0.84990099009900988</v>
      </c>
      <c r="G81" s="4" t="str">
        <f t="shared" si="4"/>
        <v/>
      </c>
      <c r="H81" s="4" t="str">
        <f t="shared" si="7"/>
        <v/>
      </c>
      <c r="I81" s="4"/>
      <c r="J81" s="4" t="str" cm="1">
        <f t="array" ref="J81">IF(C81="EXIT",0.083*_xlfn.XLOOKUP(1,(B$2:B80=B81)*(C$2:C80="ENTRY"),M$2:M80,,0,-1),"")</f>
        <v/>
      </c>
      <c r="K81" s="4"/>
      <c r="L81" s="4"/>
      <c r="M81" s="4">
        <f t="shared" si="5"/>
        <v>9220.6939133631768</v>
      </c>
      <c r="N81" s="4">
        <f t="shared" si="6"/>
        <v>-7.7930608663682364</v>
      </c>
    </row>
    <row r="82" spans="1:14" x14ac:dyDescent="0.25">
      <c r="A82" s="3">
        <v>45184</v>
      </c>
      <c r="B82" t="s">
        <v>49</v>
      </c>
      <c r="C82" t="s">
        <v>6</v>
      </c>
      <c r="D82">
        <v>0.92257425742574262</v>
      </c>
      <c r="G82" s="4" t="str">
        <f t="shared" si="4"/>
        <v/>
      </c>
      <c r="H82" s="4" t="str">
        <f t="shared" si="7"/>
        <v/>
      </c>
      <c r="I82" s="4"/>
      <c r="J82" s="4" t="str" cm="1">
        <f t="array" ref="J82">IF(C82="EXIT",0.083*_xlfn.XLOOKUP(1,(B$2:B81=B82)*(C$2:C81="ENTRY"),M$2:M81,,0,-1),"")</f>
        <v/>
      </c>
      <c r="K82" s="4"/>
      <c r="L82" s="4"/>
      <c r="M82" s="4">
        <f t="shared" si="5"/>
        <v>9220.6939133631768</v>
      </c>
      <c r="N82" s="4">
        <f t="shared" si="6"/>
        <v>-7.7930608663682364</v>
      </c>
    </row>
    <row r="83" spans="1:14" x14ac:dyDescent="0.25">
      <c r="A83" s="3">
        <v>45184</v>
      </c>
      <c r="B83" t="s">
        <v>33</v>
      </c>
      <c r="C83" t="s">
        <v>18</v>
      </c>
      <c r="D83">
        <v>0.75910891089108912</v>
      </c>
      <c r="E83">
        <v>4.7666800374381646</v>
      </c>
      <c r="G83" s="4">
        <f t="shared" si="4"/>
        <v>37.008804845637378</v>
      </c>
      <c r="H83" s="4">
        <f t="shared" si="7"/>
        <v>9.474254040483169</v>
      </c>
      <c r="I83" s="4"/>
      <c r="J83" s="4" cm="1">
        <f t="array" ref="J83">IF(C83="EXIT",0.083*_xlfn.XLOOKUP(1,(B$2:B82=B83)*(C$2:C82="ENTRY"),M$2:M82,,0,-1),"")</f>
        <v>776.40631540118284</v>
      </c>
      <c r="K83" s="4"/>
      <c r="L83" s="4"/>
      <c r="M83" s="4">
        <f t="shared" si="5"/>
        <v>9248.2284641683327</v>
      </c>
      <c r="N83" s="4">
        <f t="shared" si="6"/>
        <v>-7.5177153583166643</v>
      </c>
    </row>
    <row r="84" spans="1:14" x14ac:dyDescent="0.25">
      <c r="A84" s="3">
        <v>45184</v>
      </c>
      <c r="B84" t="s">
        <v>27</v>
      </c>
      <c r="C84" t="s">
        <v>18</v>
      </c>
      <c r="D84">
        <v>0.74841584158415841</v>
      </c>
      <c r="E84">
        <v>22.861545234896809</v>
      </c>
      <c r="G84" s="4">
        <f t="shared" si="4"/>
        <v>187.49801280938951</v>
      </c>
      <c r="H84" s="4">
        <f t="shared" si="7"/>
        <v>47.999491279203717</v>
      </c>
      <c r="I84" s="4"/>
      <c r="J84" s="4" cm="1">
        <f t="array" ref="J84">IF(C84="EXIT",0.083*_xlfn.XLOOKUP(1,(B$2:B83=B84)*(C$2:C83="ENTRY"),M$2:M83,,0,-1),"")</f>
        <v>820.14584264927453</v>
      </c>
      <c r="K84" s="4"/>
      <c r="L84" s="4"/>
      <c r="M84" s="4">
        <f t="shared" si="5"/>
        <v>9387.7269856985185</v>
      </c>
      <c r="N84" s="4">
        <f t="shared" si="6"/>
        <v>-6.122730143014806</v>
      </c>
    </row>
    <row r="85" spans="1:14" x14ac:dyDescent="0.25">
      <c r="A85" s="3">
        <v>45184</v>
      </c>
      <c r="B85" t="s">
        <v>45</v>
      </c>
      <c r="C85" t="s">
        <v>18</v>
      </c>
      <c r="D85">
        <v>0.73762376237623772</v>
      </c>
      <c r="E85">
        <v>-2.8811035515568739</v>
      </c>
      <c r="G85" s="4">
        <f t="shared" si="4"/>
        <v>-22.040218563049784</v>
      </c>
      <c r="H85" s="4">
        <f t="shared" si="7"/>
        <v>-5.6422959521407448</v>
      </c>
      <c r="I85" s="4"/>
      <c r="J85" s="4" cm="1">
        <f t="array" ref="J85">IF(C85="EXIT",0.083*_xlfn.XLOOKUP(1,(B$2:B84=B85)*(C$2:C84="ENTRY"),M$2:M84,,0,-1),"")</f>
        <v>764.99223886416087</v>
      </c>
      <c r="K85" s="4"/>
      <c r="L85" s="4"/>
      <c r="M85" s="4">
        <f t="shared" si="5"/>
        <v>9371.329063087609</v>
      </c>
      <c r="N85" s="4">
        <f t="shared" si="6"/>
        <v>-6.286709369123912</v>
      </c>
    </row>
    <row r="86" spans="1:14" x14ac:dyDescent="0.25">
      <c r="A86" s="3">
        <v>45191</v>
      </c>
      <c r="B86" t="s">
        <v>36</v>
      </c>
      <c r="C86" t="s">
        <v>18</v>
      </c>
      <c r="D86">
        <v>0.69455445544554462</v>
      </c>
      <c r="E86">
        <v>-14.42849770171096</v>
      </c>
      <c r="G86" s="4">
        <f t="shared" si="4"/>
        <v>-113.04481507286054</v>
      </c>
      <c r="H86" s="4">
        <f t="shared" si="7"/>
        <v>-28.939472658652299</v>
      </c>
      <c r="I86" s="4"/>
      <c r="J86" s="4" cm="1">
        <f t="array" ref="J86">IF(C86="EXIT",0.083*_xlfn.XLOOKUP(1,(B$2:B85=B86)*(C$2:C85="ENTRY"),M$2:M85,,0,-1),"")</f>
        <v>783.48291977379927</v>
      </c>
      <c r="K86" s="4"/>
      <c r="L86" s="4"/>
      <c r="M86" s="4">
        <f t="shared" si="5"/>
        <v>9287.2237206734007</v>
      </c>
      <c r="N86" s="4">
        <f t="shared" si="6"/>
        <v>-7.1277627932659868</v>
      </c>
    </row>
    <row r="87" spans="1:14" x14ac:dyDescent="0.25">
      <c r="A87" s="3">
        <v>45191</v>
      </c>
      <c r="B87" t="s">
        <v>50</v>
      </c>
      <c r="C87" t="s">
        <v>6</v>
      </c>
      <c r="D87">
        <v>0.88762376237623763</v>
      </c>
      <c r="G87" s="4" t="str">
        <f t="shared" si="4"/>
        <v/>
      </c>
      <c r="H87" s="4" t="str">
        <f t="shared" si="7"/>
        <v/>
      </c>
      <c r="I87" s="4"/>
      <c r="J87" s="4" t="str" cm="1">
        <f t="array" ref="J87">IF(C87="EXIT",0.083*_xlfn.XLOOKUP(1,(B$2:B86=B87)*(C$2:C86="ENTRY"),M$2:M86,,0,-1),"")</f>
        <v/>
      </c>
      <c r="K87" s="4"/>
      <c r="L87" s="4"/>
      <c r="M87" s="4">
        <f t="shared" si="5"/>
        <v>9287.2237206734007</v>
      </c>
      <c r="N87" s="4">
        <f t="shared" si="6"/>
        <v>-7.1277627932659868</v>
      </c>
    </row>
    <row r="88" spans="1:14" x14ac:dyDescent="0.25">
      <c r="A88" s="3">
        <v>45198</v>
      </c>
      <c r="B88" t="s">
        <v>48</v>
      </c>
      <c r="C88" t="s">
        <v>18</v>
      </c>
      <c r="E88">
        <v>-10.79880197663592</v>
      </c>
      <c r="G88" s="4">
        <f t="shared" si="4"/>
        <v>-82.64513155579229</v>
      </c>
      <c r="H88" s="4">
        <f t="shared" si="7"/>
        <v>-21.157153678282828</v>
      </c>
      <c r="I88" s="4"/>
      <c r="J88" s="4" cm="1">
        <f t="array" ref="J88">IF(C88="EXIT",0.083*_xlfn.XLOOKUP(1,(B$2:B87=B88)*(C$2:C87="ENTRY"),M$2:M87,,0,-1),"")</f>
        <v>765.31759480914366</v>
      </c>
      <c r="K88" s="4"/>
      <c r="L88" s="4"/>
      <c r="M88" s="4">
        <f t="shared" si="5"/>
        <v>9225.7357427958923</v>
      </c>
      <c r="N88" s="4">
        <f t="shared" si="6"/>
        <v>-7.7426425720410776</v>
      </c>
    </row>
    <row r="89" spans="1:14" x14ac:dyDescent="0.25">
      <c r="A89" s="3">
        <v>45198</v>
      </c>
      <c r="B89" t="s">
        <v>10</v>
      </c>
      <c r="C89" t="s">
        <v>6</v>
      </c>
      <c r="D89">
        <v>0.86891089108910891</v>
      </c>
      <c r="G89" s="4" t="str">
        <f t="shared" si="4"/>
        <v/>
      </c>
      <c r="H89" s="4" t="str">
        <f t="shared" si="7"/>
        <v/>
      </c>
      <c r="I89" s="4"/>
      <c r="J89" s="4" t="str" cm="1">
        <f t="array" ref="J89">IF(C89="EXIT",0.083*_xlfn.XLOOKUP(1,(B$2:B88=B89)*(C$2:C88="ENTRY"),M$2:M88,,0,-1),"")</f>
        <v/>
      </c>
      <c r="K89" s="4"/>
      <c r="L89" s="4"/>
      <c r="M89" s="4">
        <f t="shared" si="5"/>
        <v>9225.7357427958923</v>
      </c>
      <c r="N89" s="4">
        <f t="shared" si="6"/>
        <v>-7.7426425720410776</v>
      </c>
    </row>
    <row r="90" spans="1:14" x14ac:dyDescent="0.25">
      <c r="A90" s="3">
        <v>45205</v>
      </c>
      <c r="B90" t="s">
        <v>47</v>
      </c>
      <c r="C90" t="s">
        <v>18</v>
      </c>
      <c r="D90">
        <v>0.69950495049504957</v>
      </c>
      <c r="E90">
        <v>-3.534154858250627</v>
      </c>
      <c r="G90" s="4">
        <f t="shared" si="4"/>
        <v>-27.0475089579942</v>
      </c>
      <c r="H90" s="4">
        <f t="shared" si="7"/>
        <v>-6.924162293246515</v>
      </c>
      <c r="I90" s="4"/>
      <c r="J90" s="4" cm="1">
        <f t="array" ref="J90">IF(C90="EXIT",0.083*_xlfn.XLOOKUP(1,(B$2:B89=B90)*(C$2:C89="ENTRY"),M$2:M89,,0,-1),"")</f>
        <v>765.31759480914366</v>
      </c>
      <c r="K90" s="4"/>
      <c r="L90" s="4"/>
      <c r="M90" s="4">
        <f t="shared" si="5"/>
        <v>9205.6123961311441</v>
      </c>
      <c r="N90" s="4">
        <f t="shared" si="6"/>
        <v>-7.9438760386885576</v>
      </c>
    </row>
    <row r="91" spans="1:14" x14ac:dyDescent="0.25">
      <c r="A91" s="3">
        <v>45205</v>
      </c>
      <c r="B91" t="s">
        <v>50</v>
      </c>
      <c r="C91" t="s">
        <v>18</v>
      </c>
      <c r="D91">
        <v>0.71673267326732681</v>
      </c>
      <c r="E91">
        <v>-3.4101435099757489</v>
      </c>
      <c r="G91" s="4">
        <f t="shared" si="4"/>
        <v>-26.286735528300198</v>
      </c>
      <c r="H91" s="4">
        <f t="shared" si="7"/>
        <v>-6.7294042952448505</v>
      </c>
      <c r="I91" s="4"/>
      <c r="J91" s="4" cm="1">
        <f t="array" ref="J91">IF(C91="EXIT",0.083*_xlfn.XLOOKUP(1,(B$2:B90=B91)*(C$2:C90="ENTRY"),M$2:M90,,0,-1),"")</f>
        <v>770.83956881589233</v>
      </c>
      <c r="K91" s="4"/>
      <c r="L91" s="4"/>
      <c r="M91" s="4">
        <f t="shared" si="5"/>
        <v>9186.0550648980898</v>
      </c>
      <c r="N91" s="4">
        <f t="shared" si="6"/>
        <v>-8.1394493510190955</v>
      </c>
    </row>
    <row r="92" spans="1:14" x14ac:dyDescent="0.25">
      <c r="A92" s="3">
        <v>45205</v>
      </c>
      <c r="B92" t="s">
        <v>8</v>
      </c>
      <c r="C92" t="s">
        <v>6</v>
      </c>
      <c r="D92">
        <v>0.93683168316831689</v>
      </c>
      <c r="G92" s="4" t="str">
        <f t="shared" si="4"/>
        <v/>
      </c>
      <c r="H92" s="4" t="str">
        <f t="shared" si="7"/>
        <v/>
      </c>
      <c r="I92" s="4"/>
      <c r="J92" s="4" t="str" cm="1">
        <f t="array" ref="J92">IF(C92="EXIT",0.083*_xlfn.XLOOKUP(1,(B$2:B91=B92)*(C$2:C91="ENTRY"),M$2:M91,,0,-1),"")</f>
        <v/>
      </c>
      <c r="K92" s="4"/>
      <c r="L92" s="4"/>
      <c r="M92" s="4">
        <f t="shared" si="5"/>
        <v>9186.0550648980898</v>
      </c>
      <c r="N92" s="4">
        <f t="shared" si="6"/>
        <v>-8.1394493510190955</v>
      </c>
    </row>
    <row r="93" spans="1:14" x14ac:dyDescent="0.25">
      <c r="A93" s="3">
        <v>45205</v>
      </c>
      <c r="B93" t="s">
        <v>38</v>
      </c>
      <c r="C93" t="s">
        <v>6</v>
      </c>
      <c r="D93">
        <v>0.869009900990099</v>
      </c>
      <c r="G93" s="4" t="str">
        <f t="shared" si="4"/>
        <v/>
      </c>
      <c r="H93" s="4" t="str">
        <f t="shared" si="7"/>
        <v/>
      </c>
      <c r="I93" s="4"/>
      <c r="J93" s="4" t="str" cm="1">
        <f t="array" ref="J93">IF(C93="EXIT",0.083*_xlfn.XLOOKUP(1,(B$2:B92=B93)*(C$2:C92="ENTRY"),M$2:M92,,0,-1),"")</f>
        <v/>
      </c>
      <c r="K93" s="4"/>
      <c r="L93" s="4"/>
      <c r="M93" s="4">
        <f t="shared" si="5"/>
        <v>9186.0550648980898</v>
      </c>
      <c r="N93" s="4">
        <f t="shared" si="6"/>
        <v>-8.1394493510190955</v>
      </c>
    </row>
    <row r="94" spans="1:14" x14ac:dyDescent="0.25">
      <c r="A94" s="3">
        <v>45212</v>
      </c>
      <c r="B94" t="s">
        <v>51</v>
      </c>
      <c r="C94" t="s">
        <v>6</v>
      </c>
      <c r="D94">
        <v>0.85683168316831682</v>
      </c>
      <c r="G94" s="4" t="str">
        <f t="shared" si="4"/>
        <v/>
      </c>
      <c r="H94" s="4" t="str">
        <f t="shared" si="7"/>
        <v/>
      </c>
      <c r="I94" s="4"/>
      <c r="J94" s="4" t="str" cm="1">
        <f t="array" ref="J94">IF(C94="EXIT",0.083*_xlfn.XLOOKUP(1,(B$2:B93=B94)*(C$2:C93="ENTRY"),M$2:M93,,0,-1),"")</f>
        <v/>
      </c>
      <c r="K94" s="4"/>
      <c r="L94" s="4"/>
      <c r="M94" s="4">
        <f t="shared" si="5"/>
        <v>9186.0550648980898</v>
      </c>
      <c r="N94" s="4">
        <f t="shared" si="6"/>
        <v>-8.1394493510190955</v>
      </c>
    </row>
    <row r="95" spans="1:14" x14ac:dyDescent="0.25">
      <c r="A95" s="3">
        <v>45212</v>
      </c>
      <c r="B95" t="s">
        <v>52</v>
      </c>
      <c r="C95" t="s">
        <v>6</v>
      </c>
      <c r="D95">
        <v>0.83732673267326729</v>
      </c>
      <c r="G95" s="4" t="str">
        <f t="shared" si="4"/>
        <v/>
      </c>
      <c r="H95" s="4" t="str">
        <f t="shared" si="7"/>
        <v/>
      </c>
      <c r="I95" s="4"/>
      <c r="J95" s="4" t="str" cm="1">
        <f t="array" ref="J95">IF(C95="EXIT",0.083*_xlfn.XLOOKUP(1,(B$2:B94=B95)*(C$2:C94="ENTRY"),M$2:M94,,0,-1),"")</f>
        <v/>
      </c>
      <c r="K95" s="4"/>
      <c r="L95" s="4"/>
      <c r="M95" s="4">
        <f t="shared" si="5"/>
        <v>9186.0550648980898</v>
      </c>
      <c r="N95" s="4">
        <f t="shared" si="6"/>
        <v>-8.1394493510190955</v>
      </c>
    </row>
    <row r="96" spans="1:14" x14ac:dyDescent="0.25">
      <c r="A96" s="3">
        <v>45212</v>
      </c>
      <c r="B96" t="s">
        <v>17</v>
      </c>
      <c r="C96" t="s">
        <v>6</v>
      </c>
      <c r="D96">
        <v>0.89702970297029705</v>
      </c>
      <c r="G96" s="4" t="str">
        <f t="shared" si="4"/>
        <v/>
      </c>
      <c r="H96" s="4" t="str">
        <f t="shared" si="7"/>
        <v/>
      </c>
      <c r="I96" s="4"/>
      <c r="J96" s="4" t="str" cm="1">
        <f t="array" ref="J96">IF(C96="EXIT",0.083*_xlfn.XLOOKUP(1,(B$2:B95=B96)*(C$2:C95="ENTRY"),M$2:M95,,0,-1),"")</f>
        <v/>
      </c>
      <c r="K96" s="4"/>
      <c r="L96" s="4"/>
      <c r="M96" s="4">
        <f t="shared" si="5"/>
        <v>9186.0550648980898</v>
      </c>
      <c r="N96" s="4">
        <f t="shared" si="6"/>
        <v>-8.1394493510190955</v>
      </c>
    </row>
    <row r="97" spans="1:14" x14ac:dyDescent="0.25">
      <c r="A97" s="3">
        <v>45212</v>
      </c>
      <c r="B97" t="s">
        <v>10</v>
      </c>
      <c r="C97" t="s">
        <v>18</v>
      </c>
      <c r="D97">
        <v>0.73990099009901</v>
      </c>
      <c r="E97">
        <v>-1.4702383159209691</v>
      </c>
      <c r="G97" s="4">
        <f t="shared" si="4"/>
        <v>-11.258145050744703</v>
      </c>
      <c r="H97" s="4">
        <f t="shared" si="7"/>
        <v>-2.8820851329906443</v>
      </c>
      <c r="I97" s="4"/>
      <c r="J97" s="4" cm="1">
        <f t="array" ref="J97">IF(C97="EXIT",0.083*_xlfn.XLOOKUP(1,(B$2:B96=B97)*(C$2:C96="ENTRY"),M$2:M96,,0,-1),"")</f>
        <v>765.73606665205909</v>
      </c>
      <c r="K97" s="4"/>
      <c r="L97" s="4"/>
      <c r="M97" s="4">
        <f t="shared" si="5"/>
        <v>9177.6790049803367</v>
      </c>
      <c r="N97" s="4">
        <f t="shared" si="6"/>
        <v>-8.2232099501966331</v>
      </c>
    </row>
    <row r="98" spans="1:14" x14ac:dyDescent="0.25">
      <c r="A98" s="3">
        <v>45212</v>
      </c>
      <c r="B98" t="s">
        <v>49</v>
      </c>
      <c r="C98" t="s">
        <v>18</v>
      </c>
      <c r="D98">
        <v>0.72188118811881197</v>
      </c>
      <c r="E98">
        <v>-3.6227576960576768</v>
      </c>
      <c r="G98" s="4">
        <f t="shared" si="4"/>
        <v>-27.725602065231758</v>
      </c>
      <c r="H98" s="4">
        <f t="shared" si="7"/>
        <v>-7.0977541286993304</v>
      </c>
      <c r="I98" s="4"/>
      <c r="J98" s="4" cm="1">
        <f t="array" ref="J98">IF(C98="EXIT",0.083*_xlfn.XLOOKUP(1,(B$2:B97=B98)*(C$2:C97="ENTRY"),M$2:M97,,0,-1),"")</f>
        <v>765.31759480914366</v>
      </c>
      <c r="K98" s="4"/>
      <c r="L98" s="4"/>
      <c r="M98" s="4">
        <f t="shared" si="5"/>
        <v>9157.0511570438048</v>
      </c>
      <c r="N98" s="4">
        <f t="shared" si="6"/>
        <v>-8.4294884295619568</v>
      </c>
    </row>
    <row r="99" spans="1:14" x14ac:dyDescent="0.25">
      <c r="A99" s="3">
        <v>45212</v>
      </c>
      <c r="B99" t="s">
        <v>25</v>
      </c>
      <c r="C99" t="s">
        <v>18</v>
      </c>
      <c r="D99">
        <v>0.73415841584158426</v>
      </c>
      <c r="E99">
        <v>-3.6915893528483008</v>
      </c>
      <c r="G99" s="4">
        <f t="shared" si="4"/>
        <v>-28.391760645879629</v>
      </c>
      <c r="H99" s="4">
        <f t="shared" si="7"/>
        <v>-7.2682907253451852</v>
      </c>
      <c r="I99" s="4"/>
      <c r="J99" s="4" cm="1">
        <f t="array" ref="J99">IF(C99="EXIT",0.083*_xlfn.XLOOKUP(1,(B$2:B98=B99)*(C$2:C98="ENTRY"),M$2:M98,,0,-1),"")</f>
        <v>769.09314477173746</v>
      </c>
      <c r="K99" s="4"/>
      <c r="L99" s="4"/>
      <c r="M99" s="4">
        <f t="shared" si="5"/>
        <v>9135.9276871232705</v>
      </c>
      <c r="N99" s="4">
        <f t="shared" si="6"/>
        <v>-8.6407231287672914</v>
      </c>
    </row>
    <row r="100" spans="1:14" x14ac:dyDescent="0.25">
      <c r="A100" s="3">
        <v>45226</v>
      </c>
      <c r="B100" t="s">
        <v>40</v>
      </c>
      <c r="C100" t="s">
        <v>18</v>
      </c>
      <c r="E100">
        <v>-8.8782533227187201</v>
      </c>
      <c r="G100" s="4">
        <f t="shared" si="4"/>
        <v>-69.239492396398958</v>
      </c>
      <c r="H100" s="4">
        <f t="shared" si="7"/>
        <v>-17.725310053478132</v>
      </c>
      <c r="I100" s="4"/>
      <c r="J100" s="4" cm="1">
        <f t="array" ref="J100">IF(C100="EXIT",0.083*_xlfn.XLOOKUP(1,(B$2:B99=B100)*(C$2:C99="ENTRY"),M$2:M99,,0,-1),"")</f>
        <v>779.87741371628567</v>
      </c>
      <c r="K100" s="4"/>
      <c r="L100" s="4"/>
      <c r="M100" s="4">
        <f t="shared" si="5"/>
        <v>9084.4135047803502</v>
      </c>
      <c r="N100" s="4">
        <f t="shared" si="6"/>
        <v>-9.1558649521964952</v>
      </c>
    </row>
    <row r="101" spans="1:14" x14ac:dyDescent="0.25">
      <c r="A101" s="3">
        <v>45226</v>
      </c>
      <c r="B101" t="s">
        <v>51</v>
      </c>
      <c r="C101" t="s">
        <v>18</v>
      </c>
      <c r="E101">
        <v>-9.5920878191448011</v>
      </c>
      <c r="G101" s="4">
        <f t="shared" si="4"/>
        <v>-73.134160922021977</v>
      </c>
      <c r="H101" s="4">
        <f t="shared" si="7"/>
        <v>-18.722345196037626</v>
      </c>
      <c r="I101" s="4"/>
      <c r="J101" s="4" cm="1">
        <f t="array" ref="J101">IF(C101="EXIT",0.083*_xlfn.XLOOKUP(1,(B$2:B100=B101)*(C$2:C100="ENTRY"),M$2:M100,,0,-1),"")</f>
        <v>762.44257038654155</v>
      </c>
      <c r="K101" s="4"/>
      <c r="L101" s="4"/>
      <c r="M101" s="4">
        <f t="shared" si="5"/>
        <v>9030.0016890543666</v>
      </c>
      <c r="N101" s="4">
        <f t="shared" si="6"/>
        <v>-9.6999831094563262</v>
      </c>
    </row>
    <row r="102" spans="1:14" x14ac:dyDescent="0.25">
      <c r="A102" s="3">
        <v>45226</v>
      </c>
      <c r="B102" t="s">
        <v>41</v>
      </c>
      <c r="C102" t="s">
        <v>6</v>
      </c>
      <c r="D102">
        <v>0.84178217821782186</v>
      </c>
      <c r="G102" s="4" t="str">
        <f t="shared" si="4"/>
        <v/>
      </c>
      <c r="H102" s="4" t="str">
        <f t="shared" si="7"/>
        <v/>
      </c>
      <c r="I102" s="4"/>
      <c r="J102" s="4" t="str" cm="1">
        <f t="array" ref="J102">IF(C102="EXIT",0.083*_xlfn.XLOOKUP(1,(B$2:B101=B102)*(C$2:C101="ENTRY"),M$2:M101,,0,-1),"")</f>
        <v/>
      </c>
      <c r="K102" s="4"/>
      <c r="L102" s="4"/>
      <c r="M102" s="4">
        <f t="shared" si="5"/>
        <v>9030.0016890543666</v>
      </c>
      <c r="N102" s="4">
        <f t="shared" si="6"/>
        <v>-9.6999831094563262</v>
      </c>
    </row>
    <row r="103" spans="1:14" x14ac:dyDescent="0.25">
      <c r="A103" s="3">
        <v>45226</v>
      </c>
      <c r="B103" t="s">
        <v>53</v>
      </c>
      <c r="C103" t="s">
        <v>6</v>
      </c>
      <c r="D103">
        <v>0.8367326732673267</v>
      </c>
      <c r="G103" s="4" t="str">
        <f t="shared" si="4"/>
        <v/>
      </c>
      <c r="H103" s="4" t="str">
        <f t="shared" si="7"/>
        <v/>
      </c>
      <c r="I103" s="4"/>
      <c r="J103" s="4" t="str" cm="1">
        <f t="array" ref="J103">IF(C103="EXIT",0.083*_xlfn.XLOOKUP(1,(B$2:B102=B103)*(C$2:C102="ENTRY"),M$2:M102,,0,-1),"")</f>
        <v/>
      </c>
      <c r="K103" s="4"/>
      <c r="L103" s="4"/>
      <c r="M103" s="4">
        <f t="shared" si="5"/>
        <v>9030.0016890543666</v>
      </c>
      <c r="N103" s="4">
        <f t="shared" si="6"/>
        <v>-9.6999831094563262</v>
      </c>
    </row>
    <row r="104" spans="1:14" x14ac:dyDescent="0.25">
      <c r="A104" s="3">
        <v>45247</v>
      </c>
      <c r="B104" t="s">
        <v>41</v>
      </c>
      <c r="C104" t="s">
        <v>18</v>
      </c>
      <c r="D104">
        <v>0.75128712871287129</v>
      </c>
      <c r="E104">
        <v>3.6852478324806088</v>
      </c>
      <c r="G104" s="4">
        <f t="shared" si="4"/>
        <v>27.620569146063588</v>
      </c>
      <c r="H104" s="4">
        <f t="shared" si="7"/>
        <v>7.0708657013922789</v>
      </c>
      <c r="I104" s="4"/>
      <c r="J104" s="4" cm="1">
        <f t="array" ref="J104">IF(C104="EXIT",0.083*_xlfn.XLOOKUP(1,(B$2:B103=B104)*(C$2:C103="ENTRY"),M$2:M103,,0,-1),"")</f>
        <v>749.49014019151241</v>
      </c>
      <c r="K104" s="4"/>
      <c r="L104" s="4"/>
      <c r="M104" s="4">
        <f t="shared" si="5"/>
        <v>9050.5513924990373</v>
      </c>
      <c r="N104" s="4">
        <f t="shared" si="6"/>
        <v>-9.4944860750096183</v>
      </c>
    </row>
    <row r="105" spans="1:14" x14ac:dyDescent="0.25">
      <c r="A105" s="3">
        <v>45247</v>
      </c>
      <c r="B105" t="s">
        <v>54</v>
      </c>
      <c r="C105" t="s">
        <v>6</v>
      </c>
      <c r="D105">
        <v>0.90693069306930696</v>
      </c>
      <c r="G105" s="4" t="str">
        <f t="shared" si="4"/>
        <v/>
      </c>
      <c r="H105" s="4" t="str">
        <f t="shared" si="7"/>
        <v/>
      </c>
      <c r="I105" s="4"/>
      <c r="J105" s="4" t="str" cm="1">
        <f t="array" ref="J105">IF(C105="EXIT",0.083*_xlfn.XLOOKUP(1,(B$2:B104=B105)*(C$2:C104="ENTRY"),M$2:M104,,0,-1),"")</f>
        <v/>
      </c>
      <c r="K105" s="4"/>
      <c r="L105" s="4"/>
      <c r="M105" s="4">
        <f t="shared" si="5"/>
        <v>9050.5513924990373</v>
      </c>
      <c r="N105" s="4">
        <f t="shared" si="6"/>
        <v>-9.4944860750096183</v>
      </c>
    </row>
    <row r="106" spans="1:14" x14ac:dyDescent="0.25">
      <c r="A106" s="3">
        <v>45261</v>
      </c>
      <c r="B106" t="s">
        <v>5</v>
      </c>
      <c r="C106" t="s">
        <v>18</v>
      </c>
      <c r="E106">
        <v>228.05693873208079</v>
      </c>
      <c r="G106" s="4">
        <f t="shared" si="4"/>
        <v>1892.8725914762708</v>
      </c>
      <c r="H106" s="4">
        <f t="shared" si="7"/>
        <v>484.57538341792537</v>
      </c>
      <c r="I106" s="4"/>
      <c r="J106" s="4" cm="1">
        <f t="array" ref="J106">IF(C106="EXIT",0.083*_xlfn.XLOOKUP(1,(B$2:B105=B106)*(C$2:C105="ENTRY"),M$2:M105,,0,-1),"")</f>
        <v>830</v>
      </c>
      <c r="K106" s="4"/>
      <c r="L106" s="4"/>
      <c r="M106" s="4">
        <f t="shared" si="5"/>
        <v>10458.848600557383</v>
      </c>
      <c r="N106" s="4">
        <f t="shared" si="6"/>
        <v>4.5884860055738272</v>
      </c>
    </row>
    <row r="107" spans="1:14" x14ac:dyDescent="0.25">
      <c r="A107" s="3">
        <v>45261</v>
      </c>
      <c r="B107" t="s">
        <v>17</v>
      </c>
      <c r="C107" t="s">
        <v>18</v>
      </c>
      <c r="D107">
        <v>0.75306930693069307</v>
      </c>
      <c r="E107">
        <v>13.0854125586823</v>
      </c>
      <c r="G107" s="4">
        <f t="shared" si="4"/>
        <v>99.768755858100647</v>
      </c>
      <c r="H107" s="4">
        <f t="shared" si="7"/>
        <v>25.540801499673766</v>
      </c>
      <c r="I107" s="4"/>
      <c r="J107" s="4" cm="1">
        <f t="array" ref="J107">IF(C107="EXIT",0.083*_xlfn.XLOOKUP(1,(B$2:B106=B107)*(C$2:C106="ENTRY"),M$2:M106,,0,-1),"")</f>
        <v>762.44257038654155</v>
      </c>
      <c r="K107" s="4"/>
      <c r="L107" s="4"/>
      <c r="M107" s="4">
        <f t="shared" si="5"/>
        <v>10533.07655491581</v>
      </c>
      <c r="N107" s="4">
        <f t="shared" si="6"/>
        <v>5.3307655491581016</v>
      </c>
    </row>
    <row r="108" spans="1:14" x14ac:dyDescent="0.25">
      <c r="A108" s="3">
        <v>45261</v>
      </c>
      <c r="B108" t="s">
        <v>31</v>
      </c>
      <c r="C108" t="s">
        <v>6</v>
      </c>
      <c r="D108">
        <v>0.95108910891089116</v>
      </c>
      <c r="G108" s="4" t="str">
        <f t="shared" si="4"/>
        <v/>
      </c>
      <c r="H108" s="4" t="str">
        <f t="shared" si="7"/>
        <v/>
      </c>
      <c r="I108" s="4"/>
      <c r="J108" s="4" t="str" cm="1">
        <f t="array" ref="J108">IF(C108="EXIT",0.083*_xlfn.XLOOKUP(1,(B$2:B107=B108)*(C$2:C107="ENTRY"),M$2:M107,,0,-1),"")</f>
        <v/>
      </c>
      <c r="K108" s="4"/>
      <c r="L108" s="4"/>
      <c r="M108" s="4">
        <f t="shared" si="5"/>
        <v>10533.07655491581</v>
      </c>
      <c r="N108" s="4">
        <f t="shared" si="6"/>
        <v>5.3307655491581016</v>
      </c>
    </row>
    <row r="109" spans="1:14" x14ac:dyDescent="0.25">
      <c r="A109" s="3">
        <v>45261</v>
      </c>
      <c r="B109" t="s">
        <v>41</v>
      </c>
      <c r="C109" t="s">
        <v>6</v>
      </c>
      <c r="D109">
        <v>0.94277227722772283</v>
      </c>
      <c r="G109" s="4" t="str">
        <f t="shared" si="4"/>
        <v/>
      </c>
      <c r="H109" s="4" t="str">
        <f t="shared" si="7"/>
        <v/>
      </c>
      <c r="I109" s="4"/>
      <c r="J109" s="4" t="str" cm="1">
        <f t="array" ref="J109">IF(C109="EXIT",0.083*_xlfn.XLOOKUP(1,(B$2:B108=B109)*(C$2:C108="ENTRY"),M$2:M108,,0,-1),"")</f>
        <v/>
      </c>
      <c r="K109" s="4"/>
      <c r="L109" s="4"/>
      <c r="M109" s="4">
        <f t="shared" si="5"/>
        <v>10533.07655491581</v>
      </c>
      <c r="N109" s="4">
        <f t="shared" si="6"/>
        <v>5.3307655491581016</v>
      </c>
    </row>
    <row r="110" spans="1:14" x14ac:dyDescent="0.25">
      <c r="A110" s="3">
        <v>45268</v>
      </c>
      <c r="B110" t="s">
        <v>52</v>
      </c>
      <c r="C110" t="s">
        <v>18</v>
      </c>
      <c r="E110">
        <v>-0.47638048711999842</v>
      </c>
      <c r="G110" s="4">
        <f t="shared" si="4"/>
        <v>-3.6321276308176436</v>
      </c>
      <c r="H110" s="4">
        <f t="shared" si="7"/>
        <v>-0.92982467348931674</v>
      </c>
      <c r="I110" s="4"/>
      <c r="J110" s="4" cm="1">
        <f t="array" ref="J110">IF(C110="EXIT",0.083*_xlfn.XLOOKUP(1,(B$2:B109=B110)*(C$2:C109="ENTRY"),M$2:M109,,0,-1),"")</f>
        <v>762.44257038654155</v>
      </c>
      <c r="K110" s="4"/>
      <c r="L110" s="4"/>
      <c r="M110" s="4">
        <f t="shared" si="5"/>
        <v>10530.374251958481</v>
      </c>
      <c r="N110" s="4">
        <f t="shared" si="6"/>
        <v>5.3037425195848158</v>
      </c>
    </row>
    <row r="111" spans="1:14" x14ac:dyDescent="0.25">
      <c r="A111" s="3">
        <v>45268</v>
      </c>
      <c r="B111" t="s">
        <v>55</v>
      </c>
      <c r="C111" t="s">
        <v>6</v>
      </c>
      <c r="D111">
        <v>0.92264705882352949</v>
      </c>
      <c r="G111" s="4" t="str">
        <f t="shared" si="4"/>
        <v/>
      </c>
      <c r="H111" s="4" t="str">
        <f t="shared" si="7"/>
        <v/>
      </c>
      <c r="I111" s="4"/>
      <c r="J111" s="4" t="str" cm="1">
        <f t="array" ref="J111">IF(C111="EXIT",0.083*_xlfn.XLOOKUP(1,(B$2:B110=B111)*(C$2:C110="ENTRY"),M$2:M110,,0,-1),"")</f>
        <v/>
      </c>
      <c r="K111" s="4"/>
      <c r="L111" s="4"/>
      <c r="M111" s="4">
        <f t="shared" si="5"/>
        <v>10530.374251958481</v>
      </c>
      <c r="N111" s="4">
        <f t="shared" si="6"/>
        <v>5.3037425195848158</v>
      </c>
    </row>
    <row r="112" spans="1:14" x14ac:dyDescent="0.25">
      <c r="A112" s="3">
        <v>45282</v>
      </c>
      <c r="B112" t="s">
        <v>56</v>
      </c>
      <c r="C112" t="s">
        <v>6</v>
      </c>
      <c r="D112">
        <v>0.91460784313725496</v>
      </c>
      <c r="G112" s="4" t="str">
        <f t="shared" si="4"/>
        <v/>
      </c>
      <c r="H112" s="4" t="str">
        <f t="shared" si="7"/>
        <v/>
      </c>
      <c r="I112" s="4"/>
      <c r="J112" s="4" t="str" cm="1">
        <f t="array" ref="J112">IF(C112="EXIT",0.083*_xlfn.XLOOKUP(1,(B$2:B111=B112)*(C$2:C111="ENTRY"),M$2:M111,,0,-1),"")</f>
        <v/>
      </c>
      <c r="K112" s="4"/>
      <c r="L112" s="4"/>
      <c r="M112" s="4">
        <f t="shared" si="5"/>
        <v>10530.374251958481</v>
      </c>
      <c r="N112" s="4">
        <f t="shared" si="6"/>
        <v>5.3037425195848158</v>
      </c>
    </row>
    <row r="113" spans="1:14" x14ac:dyDescent="0.25">
      <c r="A113" s="3">
        <v>45282</v>
      </c>
      <c r="B113" t="s">
        <v>38</v>
      </c>
      <c r="C113" t="s">
        <v>18</v>
      </c>
      <c r="D113">
        <v>0.79058823529411781</v>
      </c>
      <c r="E113">
        <v>10.818579882206251</v>
      </c>
      <c r="G113" s="4">
        <f t="shared" si="4"/>
        <v>82.485458533214612</v>
      </c>
      <c r="H113" s="4">
        <f t="shared" si="7"/>
        <v>21.11627738450294</v>
      </c>
      <c r="I113" s="4"/>
      <c r="J113" s="4" cm="1">
        <f t="array" ref="J113">IF(C113="EXIT",0.083*_xlfn.XLOOKUP(1,(B$2:B112=B113)*(C$2:C112="ENTRY"),M$2:M112,,0,-1),"")</f>
        <v>762.44257038654155</v>
      </c>
      <c r="K113" s="4"/>
      <c r="L113" s="4"/>
      <c r="M113" s="4">
        <f t="shared" si="5"/>
        <v>10591.743433107193</v>
      </c>
      <c r="N113" s="4">
        <f t="shared" si="6"/>
        <v>5.9174343310719308</v>
      </c>
    </row>
    <row r="114" spans="1:14" x14ac:dyDescent="0.25">
      <c r="A114" s="3">
        <v>45289</v>
      </c>
      <c r="B114" t="s">
        <v>44</v>
      </c>
      <c r="C114" t="s">
        <v>18</v>
      </c>
      <c r="E114">
        <v>2.4684985845697449</v>
      </c>
      <c r="G114" s="4">
        <f t="shared" si="4"/>
        <v>18.985053392713276</v>
      </c>
      <c r="H114" s="4">
        <f t="shared" si="7"/>
        <v>4.8601736685345989</v>
      </c>
      <c r="I114" s="4"/>
      <c r="J114" s="4" cm="1">
        <f t="array" ref="J114">IF(C114="EXIT",0.083*_xlfn.XLOOKUP(1,(B$2:B113=B114)*(C$2:C113="ENTRY"),M$2:M113,,0,-1),"")</f>
        <v>769.09314477173746</v>
      </c>
      <c r="K114" s="4"/>
      <c r="L114" s="4"/>
      <c r="M114" s="4">
        <f t="shared" si="5"/>
        <v>10605.868312831371</v>
      </c>
      <c r="N114" s="4">
        <f t="shared" si="6"/>
        <v>6.0586831283137172</v>
      </c>
    </row>
    <row r="115" spans="1:14" x14ac:dyDescent="0.25">
      <c r="A115" s="3">
        <v>45289</v>
      </c>
      <c r="B115" t="s">
        <v>57</v>
      </c>
      <c r="C115" t="s">
        <v>6</v>
      </c>
      <c r="D115">
        <v>0.93058252427184474</v>
      </c>
      <c r="G115" s="4" t="str">
        <f t="shared" si="4"/>
        <v/>
      </c>
      <c r="H115" s="4" t="str">
        <f t="shared" si="7"/>
        <v/>
      </c>
      <c r="I115" s="4"/>
      <c r="J115" s="4" t="str" cm="1">
        <f t="array" ref="J115">IF(C115="EXIT",0.083*_xlfn.XLOOKUP(1,(B$2:B114=B115)*(C$2:C114="ENTRY"),M$2:M114,,0,-1),"")</f>
        <v/>
      </c>
      <c r="K115" s="4"/>
      <c r="L115" s="4"/>
      <c r="M115" s="4">
        <f t="shared" si="5"/>
        <v>10605.868312831371</v>
      </c>
      <c r="N115" s="4">
        <f t="shared" si="6"/>
        <v>6.0586831283137172</v>
      </c>
    </row>
    <row r="116" spans="1:14" x14ac:dyDescent="0.25">
      <c r="A116" s="3">
        <v>45317</v>
      </c>
      <c r="B116" t="s">
        <v>57</v>
      </c>
      <c r="C116" t="s">
        <v>18</v>
      </c>
      <c r="D116">
        <v>0.76893203883495143</v>
      </c>
      <c r="E116">
        <v>4.1747215380058664</v>
      </c>
      <c r="G116" s="4">
        <f t="shared" si="4"/>
        <v>36.749533906109782</v>
      </c>
      <c r="H116" s="4">
        <f t="shared" si="7"/>
        <v>9.407880679964105</v>
      </c>
      <c r="I116" s="4"/>
      <c r="J116" s="4" cm="1">
        <f t="array" ref="J116">IF(C116="EXIT",0.083*_xlfn.XLOOKUP(1,(B$2:B115=B116)*(C$2:C115="ENTRY"),M$2:M115,,0,-1),"")</f>
        <v>880.28706996500387</v>
      </c>
      <c r="K116" s="4"/>
      <c r="L116" s="4"/>
      <c r="M116" s="4">
        <f t="shared" si="5"/>
        <v>10633.209966057517</v>
      </c>
      <c r="N116" s="4">
        <f t="shared" si="6"/>
        <v>6.3320996605751674</v>
      </c>
    </row>
    <row r="117" spans="1:14" x14ac:dyDescent="0.25">
      <c r="A117" s="3">
        <v>45317</v>
      </c>
      <c r="B117" t="s">
        <v>5</v>
      </c>
      <c r="C117" t="s">
        <v>6</v>
      </c>
      <c r="D117">
        <v>0.98077669902912634</v>
      </c>
      <c r="G117" s="4" t="str">
        <f t="shared" si="4"/>
        <v/>
      </c>
      <c r="H117" s="4" t="str">
        <f t="shared" si="7"/>
        <v/>
      </c>
      <c r="I117" s="4"/>
      <c r="J117" s="4" t="str" cm="1">
        <f t="array" ref="J117">IF(C117="EXIT",0.083*_xlfn.XLOOKUP(1,(B$2:B116=B117)*(C$2:C116="ENTRY"),M$2:M116,,0,-1),"")</f>
        <v/>
      </c>
      <c r="K117" s="4"/>
      <c r="L117" s="4"/>
      <c r="M117" s="4">
        <f t="shared" si="5"/>
        <v>10633.209966057517</v>
      </c>
      <c r="N117" s="4">
        <f t="shared" si="6"/>
        <v>6.3320996605751674</v>
      </c>
    </row>
    <row r="118" spans="1:14" x14ac:dyDescent="0.25">
      <c r="A118" s="3">
        <v>45324</v>
      </c>
      <c r="B118" t="s">
        <v>8</v>
      </c>
      <c r="C118" t="s">
        <v>18</v>
      </c>
      <c r="E118">
        <v>17.938278168997289</v>
      </c>
      <c r="G118" s="4">
        <f t="shared" si="4"/>
        <v>136.76906915479077</v>
      </c>
      <c r="H118" s="4">
        <f t="shared" si="7"/>
        <v>35.012881703626441</v>
      </c>
      <c r="I118" s="4"/>
      <c r="J118" s="4" cm="1">
        <f t="array" ref="J118">IF(C118="EXIT",0.083*_xlfn.XLOOKUP(1,(B$2:B117=B118)*(C$2:C117="ENTRY"),M$2:M117,,0,-1),"")</f>
        <v>762.44257038654155</v>
      </c>
      <c r="K118" s="4"/>
      <c r="L118" s="4"/>
      <c r="M118" s="4">
        <f t="shared" si="5"/>
        <v>10734.966153508682</v>
      </c>
      <c r="N118" s="4">
        <f t="shared" si="6"/>
        <v>7.349661535086824</v>
      </c>
    </row>
    <row r="119" spans="1:14" x14ac:dyDescent="0.25">
      <c r="A119" s="3">
        <v>45324</v>
      </c>
      <c r="B119" t="s">
        <v>54</v>
      </c>
      <c r="C119" t="s">
        <v>18</v>
      </c>
      <c r="D119">
        <v>0.75611650485436899</v>
      </c>
      <c r="E119">
        <v>-2.761933091091473</v>
      </c>
      <c r="G119" s="4">
        <f t="shared" si="4"/>
        <v>-20.747524428360698</v>
      </c>
      <c r="H119" s="4">
        <f t="shared" si="7"/>
        <v>-5.3113662536603385</v>
      </c>
      <c r="I119" s="4"/>
      <c r="J119" s="4" cm="1">
        <f t="array" ref="J119">IF(C119="EXIT",0.083*_xlfn.XLOOKUP(1,(B$2:B118=B119)*(C$2:C118="ENTRY"),M$2:M118,,0,-1),"")</f>
        <v>751.19576557742016</v>
      </c>
      <c r="K119" s="4"/>
      <c r="L119" s="4"/>
      <c r="M119" s="4">
        <f t="shared" si="5"/>
        <v>10719.52999533398</v>
      </c>
      <c r="N119" s="4">
        <f t="shared" si="6"/>
        <v>7.1952999533397985</v>
      </c>
    </row>
    <row r="120" spans="1:14" x14ac:dyDescent="0.25">
      <c r="A120" s="3">
        <v>45324</v>
      </c>
      <c r="B120" t="s">
        <v>58</v>
      </c>
      <c r="C120" t="s">
        <v>6</v>
      </c>
      <c r="D120">
        <v>0.92417475728155341</v>
      </c>
      <c r="G120" s="4" t="str">
        <f t="shared" si="4"/>
        <v/>
      </c>
      <c r="H120" s="4" t="str">
        <f t="shared" si="7"/>
        <v/>
      </c>
      <c r="I120" s="4"/>
      <c r="J120" s="4" t="str" cm="1">
        <f t="array" ref="J120">IF(C120="EXIT",0.083*_xlfn.XLOOKUP(1,(B$2:B119=B120)*(C$2:C119="ENTRY"),M$2:M119,,0,-1),"")</f>
        <v/>
      </c>
      <c r="K120" s="4"/>
      <c r="L120" s="4"/>
      <c r="M120" s="4">
        <f t="shared" si="5"/>
        <v>10719.52999533398</v>
      </c>
      <c r="N120" s="4">
        <f t="shared" si="6"/>
        <v>7.1952999533397985</v>
      </c>
    </row>
    <row r="121" spans="1:14" x14ac:dyDescent="0.25">
      <c r="A121" s="3">
        <v>45324</v>
      </c>
      <c r="B121" t="s">
        <v>36</v>
      </c>
      <c r="C121" t="s">
        <v>6</v>
      </c>
      <c r="D121">
        <v>0.89106796116504861</v>
      </c>
      <c r="G121" s="4" t="str">
        <f t="shared" si="4"/>
        <v/>
      </c>
      <c r="H121" s="4" t="str">
        <f t="shared" si="7"/>
        <v/>
      </c>
      <c r="I121" s="4"/>
      <c r="J121" s="4" t="str" cm="1">
        <f t="array" ref="J121">IF(C121="EXIT",0.083*_xlfn.XLOOKUP(1,(B$2:B120=B121)*(C$2:C120="ENTRY"),M$2:M120,,0,-1),"")</f>
        <v/>
      </c>
      <c r="K121" s="4"/>
      <c r="L121" s="4"/>
      <c r="M121" s="4">
        <f t="shared" si="5"/>
        <v>10719.52999533398</v>
      </c>
      <c r="N121" s="4">
        <f t="shared" si="6"/>
        <v>7.1952999533397985</v>
      </c>
    </row>
    <row r="122" spans="1:14" x14ac:dyDescent="0.25">
      <c r="A122" s="3">
        <v>45338</v>
      </c>
      <c r="B122" t="s">
        <v>46</v>
      </c>
      <c r="C122" t="s">
        <v>18</v>
      </c>
      <c r="E122">
        <v>-2.938521720575582</v>
      </c>
      <c r="G122" s="4">
        <f t="shared" si="4"/>
        <v>-22.48902375485331</v>
      </c>
      <c r="H122" s="4">
        <f t="shared" si="7"/>
        <v>-5.7571900812424479</v>
      </c>
      <c r="I122" s="4"/>
      <c r="J122" s="4" cm="1">
        <f t="array" ref="J122">IF(C122="EXIT",0.083*_xlfn.XLOOKUP(1,(B$2:B121=B122)*(C$2:C121="ENTRY"),M$2:M121,,0,-1),"")</f>
        <v>765.31759480914366</v>
      </c>
      <c r="K122" s="4"/>
      <c r="L122" s="4"/>
      <c r="M122" s="4">
        <f t="shared" si="5"/>
        <v>10702.798161660368</v>
      </c>
      <c r="N122" s="4">
        <f t="shared" si="6"/>
        <v>7.0279816166036824</v>
      </c>
    </row>
    <row r="123" spans="1:14" x14ac:dyDescent="0.25">
      <c r="A123" s="3">
        <v>45338</v>
      </c>
      <c r="B123" t="s">
        <v>31</v>
      </c>
      <c r="C123" t="s">
        <v>18</v>
      </c>
      <c r="D123">
        <v>0.80883495145631079</v>
      </c>
      <c r="E123">
        <v>7.0683602908566234</v>
      </c>
      <c r="G123" s="4">
        <f t="shared" si="4"/>
        <v>61.79481145089543</v>
      </c>
      <c r="H123" s="4">
        <f t="shared" si="7"/>
        <v>15.81947173142923</v>
      </c>
      <c r="I123" s="4"/>
      <c r="J123" s="4" cm="1">
        <f t="array" ref="J123">IF(C123="EXIT",0.083*_xlfn.XLOOKUP(1,(B$2:B122=B123)*(C$2:C122="ENTRY"),M$2:M122,,0,-1),"")</f>
        <v>874.24535405801225</v>
      </c>
      <c r="K123" s="4"/>
      <c r="L123" s="4"/>
      <c r="M123" s="4">
        <f t="shared" si="5"/>
        <v>10748.773501379836</v>
      </c>
      <c r="N123" s="4">
        <f t="shared" si="6"/>
        <v>7.4877350137983569</v>
      </c>
    </row>
    <row r="124" spans="1:14" x14ac:dyDescent="0.25">
      <c r="A124" s="3">
        <v>45338</v>
      </c>
      <c r="B124" t="s">
        <v>40</v>
      </c>
      <c r="C124" t="s">
        <v>6</v>
      </c>
      <c r="D124">
        <v>0.91135922330097097</v>
      </c>
      <c r="G124" s="4" t="str">
        <f t="shared" si="4"/>
        <v/>
      </c>
      <c r="H124" s="4" t="str">
        <f t="shared" si="7"/>
        <v/>
      </c>
      <c r="I124" s="4"/>
      <c r="J124" s="4" t="str" cm="1">
        <f t="array" ref="J124">IF(C124="EXIT",0.083*_xlfn.XLOOKUP(1,(B$2:B123=B124)*(C$2:C123="ENTRY"),M$2:M123,,0,-1),"")</f>
        <v/>
      </c>
      <c r="K124" s="4"/>
      <c r="L124" s="4"/>
      <c r="M124" s="4">
        <f t="shared" si="5"/>
        <v>10748.773501379836</v>
      </c>
      <c r="N124" s="4">
        <f t="shared" si="6"/>
        <v>7.4877350137983569</v>
      </c>
    </row>
    <row r="125" spans="1:14" x14ac:dyDescent="0.25">
      <c r="A125" s="3">
        <v>45338</v>
      </c>
      <c r="B125" t="s">
        <v>59</v>
      </c>
      <c r="C125" t="s">
        <v>6</v>
      </c>
      <c r="D125">
        <v>0.91126213592233019</v>
      </c>
      <c r="G125" s="4" t="str">
        <f t="shared" si="4"/>
        <v/>
      </c>
      <c r="H125" s="4" t="str">
        <f t="shared" si="7"/>
        <v/>
      </c>
      <c r="I125" s="4"/>
      <c r="J125" s="4" t="str" cm="1">
        <f t="array" ref="J125">IF(C125="EXIT",0.083*_xlfn.XLOOKUP(1,(B$2:B124=B125)*(C$2:C124="ENTRY"),M$2:M124,,0,-1),"")</f>
        <v/>
      </c>
      <c r="K125" s="4"/>
      <c r="L125" s="4"/>
      <c r="M125" s="4">
        <f t="shared" si="5"/>
        <v>10748.773501379836</v>
      </c>
      <c r="N125" s="4">
        <f t="shared" si="6"/>
        <v>7.4877350137983569</v>
      </c>
    </row>
    <row r="126" spans="1:14" x14ac:dyDescent="0.25">
      <c r="A126" s="3">
        <v>45345</v>
      </c>
      <c r="B126" t="s">
        <v>60</v>
      </c>
      <c r="C126" t="s">
        <v>6</v>
      </c>
      <c r="D126">
        <v>0.89029126213592225</v>
      </c>
      <c r="G126" s="4" t="str">
        <f t="shared" si="4"/>
        <v/>
      </c>
      <c r="H126" s="4" t="str">
        <f t="shared" si="7"/>
        <v/>
      </c>
      <c r="I126" s="4"/>
      <c r="J126" s="4" t="str" cm="1">
        <f t="array" ref="J126">IF(C126="EXIT",0.083*_xlfn.XLOOKUP(1,(B$2:B125=B126)*(C$2:C125="ENTRY"),M$2:M125,,0,-1),"")</f>
        <v/>
      </c>
      <c r="K126" s="4"/>
      <c r="L126" s="4"/>
      <c r="M126" s="4">
        <f t="shared" si="5"/>
        <v>10748.773501379836</v>
      </c>
      <c r="N126" s="4">
        <f t="shared" si="6"/>
        <v>7.4877350137983569</v>
      </c>
    </row>
    <row r="127" spans="1:14" x14ac:dyDescent="0.25">
      <c r="A127" s="3">
        <v>45345</v>
      </c>
      <c r="B127" t="s">
        <v>33</v>
      </c>
      <c r="C127" t="s">
        <v>6</v>
      </c>
      <c r="D127">
        <v>0.90320388349514569</v>
      </c>
      <c r="G127" s="4" t="str">
        <f t="shared" si="4"/>
        <v/>
      </c>
      <c r="H127" s="4" t="str">
        <f t="shared" si="7"/>
        <v/>
      </c>
      <c r="I127" s="4"/>
      <c r="J127" s="4" t="str" cm="1">
        <f t="array" ref="J127">IF(C127="EXIT",0.083*_xlfn.XLOOKUP(1,(B$2:B126=B127)*(C$2:C126="ENTRY"),M$2:M126,,0,-1),"")</f>
        <v/>
      </c>
      <c r="K127" s="4"/>
      <c r="L127" s="4"/>
      <c r="M127" s="4">
        <f t="shared" si="5"/>
        <v>10748.773501379836</v>
      </c>
      <c r="N127" s="4">
        <f t="shared" si="6"/>
        <v>7.4877350137983569</v>
      </c>
    </row>
    <row r="128" spans="1:14" x14ac:dyDescent="0.25">
      <c r="A128" s="3">
        <v>45345</v>
      </c>
      <c r="B128" t="s">
        <v>36</v>
      </c>
      <c r="C128" t="s">
        <v>18</v>
      </c>
      <c r="E128">
        <v>-8.0670474096075857</v>
      </c>
      <c r="G128" s="4">
        <f t="shared" si="4"/>
        <v>-71.774214045287934</v>
      </c>
      <c r="H128" s="4">
        <f t="shared" si="7"/>
        <v>-18.37419879559371</v>
      </c>
      <c r="I128" s="4"/>
      <c r="J128" s="4" cm="1">
        <f t="array" ref="J128">IF(C128="EXIT",0.083*_xlfn.XLOOKUP(1,(B$2:B127=B128)*(C$2:C127="ENTRY"),M$2:M127,,0,-1),"")</f>
        <v>889.72098961272036</v>
      </c>
      <c r="K128" s="4"/>
      <c r="L128" s="4"/>
      <c r="M128" s="4">
        <f t="shared" si="5"/>
        <v>10695.373486130142</v>
      </c>
      <c r="N128" s="4">
        <f t="shared" si="6"/>
        <v>6.9537348613014274</v>
      </c>
    </row>
    <row r="129" spans="1:14" x14ac:dyDescent="0.25">
      <c r="A129" s="3">
        <v>45345</v>
      </c>
      <c r="B129" t="s">
        <v>41</v>
      </c>
      <c r="C129" t="s">
        <v>18</v>
      </c>
      <c r="E129">
        <v>-4.7508127870876553</v>
      </c>
      <c r="G129" s="4">
        <f t="shared" si="4"/>
        <v>-41.533760071107793</v>
      </c>
      <c r="H129" s="4">
        <f t="shared" si="7"/>
        <v>-10.632642578203596</v>
      </c>
      <c r="I129" s="4"/>
      <c r="J129" s="4" cm="1">
        <f t="array" ref="J129">IF(C129="EXIT",0.083*_xlfn.XLOOKUP(1,(B$2:B128=B129)*(C$2:C128="ENTRY"),M$2:M128,,0,-1),"")</f>
        <v>874.24535405801225</v>
      </c>
      <c r="K129" s="4"/>
      <c r="L129" s="4"/>
      <c r="M129" s="4">
        <f t="shared" si="5"/>
        <v>10664.472368637238</v>
      </c>
      <c r="N129" s="4">
        <f t="shared" si="6"/>
        <v>6.6447236863723873</v>
      </c>
    </row>
    <row r="130" spans="1:14" x14ac:dyDescent="0.25">
      <c r="A130" s="3">
        <v>45359</v>
      </c>
      <c r="B130" t="s">
        <v>55</v>
      </c>
      <c r="C130" t="s">
        <v>18</v>
      </c>
      <c r="D130">
        <v>0.77427184466019428</v>
      </c>
      <c r="E130">
        <v>-5.5332298120203127E-2</v>
      </c>
      <c r="G130" s="4">
        <f t="shared" si="4"/>
        <v>-0.48361594016414244</v>
      </c>
      <c r="H130" s="4">
        <f t="shared" si="7"/>
        <v>-0.12380568068202047</v>
      </c>
      <c r="I130" s="4"/>
      <c r="J130" s="4" cm="1">
        <f t="array" ref="J130">IF(C130="EXIT",0.083*_xlfn.XLOOKUP(1,(B$2:B129=B130)*(C$2:C129="ENTRY"),M$2:M129,,0,-1),"")</f>
        <v>874.02106291255393</v>
      </c>
      <c r="K130" s="4"/>
      <c r="L130" s="4"/>
      <c r="M130" s="4">
        <f t="shared" si="5"/>
        <v>10664.112558377756</v>
      </c>
      <c r="N130" s="4">
        <f t="shared" si="6"/>
        <v>6.6411255837775656</v>
      </c>
    </row>
    <row r="131" spans="1:14" x14ac:dyDescent="0.25">
      <c r="A131" s="3">
        <v>45359</v>
      </c>
      <c r="B131" t="s">
        <v>59</v>
      </c>
      <c r="C131" t="s">
        <v>18</v>
      </c>
      <c r="E131">
        <v>-17.554720801496892</v>
      </c>
      <c r="G131" s="4">
        <f t="shared" ref="G131:G194" si="8">IF(C131="EXIT",J131/100*E131,"")</f>
        <v>-156.6141257534585</v>
      </c>
      <c r="H131" s="4">
        <f t="shared" si="7"/>
        <v>-40.093216192885379</v>
      </c>
      <c r="I131" s="4"/>
      <c r="J131" s="4" cm="1">
        <f t="array" ref="J131">IF(C131="EXIT",0.083*_xlfn.XLOOKUP(1,(B$2:B130=B131)*(C$2:C130="ENTRY"),M$2:M130,,0,-1),"")</f>
        <v>892.14820061452644</v>
      </c>
      <c r="K131" s="4"/>
      <c r="L131" s="4"/>
      <c r="M131" s="4">
        <f t="shared" ref="M131:M151" si="9">IFERROR(M130+G131-H131,M130)</f>
        <v>10547.591648817182</v>
      </c>
      <c r="N131" s="4">
        <f t="shared" ref="N131:N194" si="10">100/M$1*M131-100</f>
        <v>5.4759164881718334</v>
      </c>
    </row>
    <row r="132" spans="1:14" x14ac:dyDescent="0.25">
      <c r="A132" s="3">
        <v>45359</v>
      </c>
      <c r="B132" t="s">
        <v>43</v>
      </c>
      <c r="C132" t="s">
        <v>6</v>
      </c>
      <c r="D132">
        <v>0.9307766990291263</v>
      </c>
      <c r="G132" s="4" t="str">
        <f t="shared" si="8"/>
        <v/>
      </c>
      <c r="H132" s="4" t="str">
        <f t="shared" si="7"/>
        <v/>
      </c>
      <c r="I132" s="4"/>
      <c r="J132" s="4" t="str" cm="1">
        <f t="array" ref="J132">IF(C132="EXIT",0.083*_xlfn.XLOOKUP(1,(B$2:B131=B132)*(C$2:C131="ENTRY"),M$2:M131,,0,-1),"")</f>
        <v/>
      </c>
      <c r="K132" s="4"/>
      <c r="L132" s="4"/>
      <c r="M132" s="4">
        <f t="shared" si="9"/>
        <v>10547.591648817182</v>
      </c>
      <c r="N132" s="4">
        <f t="shared" si="10"/>
        <v>5.4759164881718334</v>
      </c>
    </row>
    <row r="133" spans="1:14" x14ac:dyDescent="0.25">
      <c r="A133" s="3">
        <v>45359</v>
      </c>
      <c r="B133" t="s">
        <v>17</v>
      </c>
      <c r="C133" t="s">
        <v>6</v>
      </c>
      <c r="D133">
        <v>0.90825242718446619</v>
      </c>
      <c r="G133" s="4" t="str">
        <f t="shared" si="8"/>
        <v/>
      </c>
      <c r="H133" s="4" t="str">
        <f t="shared" si="7"/>
        <v/>
      </c>
      <c r="I133" s="4"/>
      <c r="J133" s="4" t="str" cm="1">
        <f t="array" ref="J133">IF(C133="EXIT",0.083*_xlfn.XLOOKUP(1,(B$2:B132=B133)*(C$2:C132="ENTRY"),M$2:M132,,0,-1),"")</f>
        <v/>
      </c>
      <c r="K133" s="4"/>
      <c r="L133" s="4"/>
      <c r="M133" s="4">
        <f t="shared" si="9"/>
        <v>10547.591648817182</v>
      </c>
      <c r="N133" s="4">
        <f t="shared" si="10"/>
        <v>5.4759164881718334</v>
      </c>
    </row>
    <row r="134" spans="1:14" x14ac:dyDescent="0.25">
      <c r="A134" s="3">
        <v>45415</v>
      </c>
      <c r="B134" t="s">
        <v>56</v>
      </c>
      <c r="C134" t="s">
        <v>18</v>
      </c>
      <c r="D134">
        <v>0.756504854368932</v>
      </c>
      <c r="E134">
        <v>7.8796558159484054</v>
      </c>
      <c r="G134" s="4">
        <f t="shared" si="8"/>
        <v>68.869851516403116</v>
      </c>
      <c r="H134" s="4">
        <f t="shared" si="7"/>
        <v>17.6306819881992</v>
      </c>
      <c r="I134" s="4"/>
      <c r="J134" s="4" cm="1">
        <f t="array" ref="J134">IF(C134="EXIT",0.083*_xlfn.XLOOKUP(1,(B$2:B133=B134)*(C$2:C133="ENTRY"),M$2:M133,,0,-1),"")</f>
        <v>874.02106291255393</v>
      </c>
      <c r="K134" s="4"/>
      <c r="L134" s="4"/>
      <c r="M134" s="4">
        <f t="shared" si="9"/>
        <v>10598.830818345386</v>
      </c>
      <c r="N134" s="4">
        <f t="shared" si="10"/>
        <v>5.9883081834538672</v>
      </c>
    </row>
    <row r="135" spans="1:14" x14ac:dyDescent="0.25">
      <c r="A135" s="3">
        <v>45415</v>
      </c>
      <c r="B135" t="s">
        <v>61</v>
      </c>
      <c r="C135" t="s">
        <v>6</v>
      </c>
      <c r="D135">
        <v>0.94796116504854355</v>
      </c>
      <c r="G135" s="4" t="str">
        <f t="shared" si="8"/>
        <v/>
      </c>
      <c r="H135" s="4" t="str">
        <f t="shared" si="7"/>
        <v/>
      </c>
      <c r="I135" s="4"/>
      <c r="J135" s="4" t="str" cm="1">
        <f t="array" ref="J135">IF(C135="EXIT",0.083*_xlfn.XLOOKUP(1,(B$2:B134=B135)*(C$2:C134="ENTRY"),M$2:M134,,0,-1),"")</f>
        <v/>
      </c>
      <c r="K135" s="4"/>
      <c r="L135" s="4"/>
      <c r="M135" s="4">
        <f t="shared" si="9"/>
        <v>10598.830818345386</v>
      </c>
      <c r="N135" s="4">
        <f t="shared" si="10"/>
        <v>5.9883081834538672</v>
      </c>
    </row>
    <row r="136" spans="1:14" x14ac:dyDescent="0.25">
      <c r="A136" s="3">
        <v>45422</v>
      </c>
      <c r="B136" t="s">
        <v>58</v>
      </c>
      <c r="C136" t="s">
        <v>18</v>
      </c>
      <c r="D136">
        <v>0.75728155339805836</v>
      </c>
      <c r="E136">
        <v>4.876708984375</v>
      </c>
      <c r="G136" s="4">
        <f t="shared" si="8"/>
        <v>43.38910343631369</v>
      </c>
      <c r="H136" s="4">
        <f t="shared" si="7"/>
        <v>11.107610479696305</v>
      </c>
      <c r="I136" s="4"/>
      <c r="J136" s="4" cm="1">
        <f t="array" ref="J136">IF(C136="EXIT",0.083*_xlfn.XLOOKUP(1,(B$2:B135=B136)*(C$2:C135="ENTRY"),M$2:M135,,0,-1),"")</f>
        <v>889.72098961272036</v>
      </c>
      <c r="K136" s="4"/>
      <c r="L136" s="4"/>
      <c r="M136" s="4">
        <f t="shared" si="9"/>
        <v>10631.112311302004</v>
      </c>
      <c r="N136" s="4">
        <f t="shared" si="10"/>
        <v>6.3111231130200451</v>
      </c>
    </row>
    <row r="137" spans="1:14" x14ac:dyDescent="0.25">
      <c r="A137" s="3">
        <v>45422</v>
      </c>
      <c r="B137" t="s">
        <v>62</v>
      </c>
      <c r="C137" t="s">
        <v>6</v>
      </c>
      <c r="D137">
        <v>0.94514563106796112</v>
      </c>
      <c r="G137" s="4" t="str">
        <f t="shared" si="8"/>
        <v/>
      </c>
      <c r="H137" s="4" t="str">
        <f t="shared" si="7"/>
        <v/>
      </c>
      <c r="I137" s="4"/>
      <c r="J137" s="4" t="str" cm="1">
        <f t="array" ref="J137">IF(C137="EXIT",0.083*_xlfn.XLOOKUP(1,(B$2:B136=B137)*(C$2:C136="ENTRY"),M$2:M136,,0,-1),"")</f>
        <v/>
      </c>
      <c r="K137" s="4"/>
      <c r="L137" s="4"/>
      <c r="M137" s="4">
        <f t="shared" si="9"/>
        <v>10631.112311302004</v>
      </c>
      <c r="N137" s="4">
        <f t="shared" si="10"/>
        <v>6.3111231130200451</v>
      </c>
    </row>
    <row r="138" spans="1:14" x14ac:dyDescent="0.25">
      <c r="A138" s="3">
        <v>45443</v>
      </c>
      <c r="B138" t="s">
        <v>60</v>
      </c>
      <c r="C138" t="s">
        <v>18</v>
      </c>
      <c r="E138">
        <v>0.82861700824325979</v>
      </c>
      <c r="G138" s="4">
        <f t="shared" si="8"/>
        <v>7.3924917290281646</v>
      </c>
      <c r="H138" s="4">
        <f t="shared" si="7"/>
        <v>1.8924778826312101</v>
      </c>
      <c r="I138" s="4"/>
      <c r="J138" s="4" cm="1">
        <f t="array" ref="J138">IF(C138="EXIT",0.083*_xlfn.XLOOKUP(1,(B$2:B137=B138)*(C$2:C137="ENTRY"),M$2:M137,,0,-1),"")</f>
        <v>892.14820061452644</v>
      </c>
      <c r="K138" s="4"/>
      <c r="L138" s="4"/>
      <c r="M138" s="4">
        <f t="shared" si="9"/>
        <v>10636.6123251484</v>
      </c>
      <c r="N138" s="4">
        <f t="shared" si="10"/>
        <v>6.3661232514840123</v>
      </c>
    </row>
    <row r="139" spans="1:14" x14ac:dyDescent="0.25">
      <c r="A139" s="3">
        <v>45443</v>
      </c>
      <c r="B139" t="s">
        <v>45</v>
      </c>
      <c r="C139" t="s">
        <v>6</v>
      </c>
      <c r="D139">
        <v>0.93058252427184474</v>
      </c>
      <c r="G139" s="4" t="str">
        <f t="shared" si="8"/>
        <v/>
      </c>
      <c r="H139" s="4" t="str">
        <f t="shared" si="7"/>
        <v/>
      </c>
      <c r="I139" s="4"/>
      <c r="J139" s="4" t="str" cm="1">
        <f t="array" ref="J139">IF(C139="EXIT",0.083*_xlfn.XLOOKUP(1,(B$2:B138=B139)*(C$2:C138="ENTRY"),M$2:M138,,0,-1),"")</f>
        <v/>
      </c>
      <c r="K139" s="4"/>
      <c r="L139" s="4"/>
      <c r="M139" s="4">
        <f t="shared" si="9"/>
        <v>10636.6123251484</v>
      </c>
      <c r="N139" s="4">
        <f t="shared" si="10"/>
        <v>6.3661232514840123</v>
      </c>
    </row>
    <row r="140" spans="1:14" x14ac:dyDescent="0.25">
      <c r="A140" s="3">
        <v>45492</v>
      </c>
      <c r="B140" t="s">
        <v>40</v>
      </c>
      <c r="C140" t="s">
        <v>18</v>
      </c>
      <c r="E140">
        <v>-0.56450350366424873</v>
      </c>
      <c r="G140" s="4">
        <f t="shared" si="8"/>
        <v>-5.0362078503465524</v>
      </c>
      <c r="H140" s="4">
        <f t="shared" si="7"/>
        <v>-1.2892692096887175</v>
      </c>
      <c r="I140" s="4"/>
      <c r="J140" s="4" cm="1">
        <f t="array" ref="J140">IF(C140="EXIT",0.083*_xlfn.XLOOKUP(1,(B$2:B139=B140)*(C$2:C139="ENTRY"),M$2:M139,,0,-1),"")</f>
        <v>892.14820061452644</v>
      </c>
      <c r="K140" s="4"/>
      <c r="L140" s="4"/>
      <c r="M140" s="4">
        <f t="shared" si="9"/>
        <v>10632.865386507743</v>
      </c>
      <c r="N140" s="4">
        <f t="shared" si="10"/>
        <v>6.3286538650774276</v>
      </c>
    </row>
    <row r="141" spans="1:14" x14ac:dyDescent="0.25">
      <c r="A141" s="3">
        <v>45492</v>
      </c>
      <c r="B141" t="s">
        <v>14</v>
      </c>
      <c r="C141" t="s">
        <v>6</v>
      </c>
      <c r="D141">
        <v>0.94922330097087371</v>
      </c>
      <c r="G141" s="4" t="str">
        <f t="shared" si="8"/>
        <v/>
      </c>
      <c r="H141" s="4" t="str">
        <f t="shared" si="7"/>
        <v/>
      </c>
      <c r="I141" s="4"/>
      <c r="J141" s="4" t="str" cm="1">
        <f t="array" ref="J141">IF(C141="EXIT",0.083*_xlfn.XLOOKUP(1,(B$2:B140=B141)*(C$2:C140="ENTRY"),M$2:M140,,0,-1),"")</f>
        <v/>
      </c>
      <c r="K141" s="4"/>
      <c r="L141" s="4"/>
      <c r="M141" s="4">
        <f t="shared" si="9"/>
        <v>10632.865386507743</v>
      </c>
      <c r="N141" s="4">
        <f t="shared" si="10"/>
        <v>6.3286538650774276</v>
      </c>
    </row>
    <row r="142" spans="1:14" x14ac:dyDescent="0.25">
      <c r="A142" s="3">
        <v>45499</v>
      </c>
      <c r="B142" t="s">
        <v>63</v>
      </c>
      <c r="C142" t="s">
        <v>6</v>
      </c>
      <c r="D142">
        <v>0.85796116504854381</v>
      </c>
      <c r="G142" s="4" t="str">
        <f t="shared" si="8"/>
        <v/>
      </c>
      <c r="H142" s="4" t="str">
        <f t="shared" si="7"/>
        <v/>
      </c>
      <c r="I142" s="4"/>
      <c r="J142" s="4" t="str" cm="1">
        <f t="array" ref="J142">IF(C142="EXIT",0.083*_xlfn.XLOOKUP(1,(B$2:B141=B142)*(C$2:C141="ENTRY"),M$2:M141,,0,-1),"")</f>
        <v/>
      </c>
      <c r="K142" s="4"/>
      <c r="L142" s="4"/>
      <c r="M142" s="4">
        <f t="shared" si="9"/>
        <v>10632.865386507743</v>
      </c>
      <c r="N142" s="4">
        <f t="shared" si="10"/>
        <v>6.3286538650774276</v>
      </c>
    </row>
    <row r="143" spans="1:14" x14ac:dyDescent="0.25">
      <c r="A143" s="3">
        <v>45499</v>
      </c>
      <c r="B143" t="s">
        <v>20</v>
      </c>
      <c r="C143" t="s">
        <v>6</v>
      </c>
      <c r="D143">
        <v>0.87378640776699035</v>
      </c>
      <c r="G143" s="4" t="str">
        <f t="shared" si="8"/>
        <v/>
      </c>
      <c r="H143" s="4" t="str">
        <f t="shared" ref="H143:H206" si="11">IFERROR(G143*0.256,"")</f>
        <v/>
      </c>
      <c r="I143" s="4"/>
      <c r="J143" s="4" t="str" cm="1">
        <f t="array" ref="J143">IF(C143="EXIT",0.083*_xlfn.XLOOKUP(1,(B$2:B142=B143)*(C$2:C142="ENTRY"),M$2:M142,,0,-1),"")</f>
        <v/>
      </c>
      <c r="K143" s="4"/>
      <c r="L143" s="4"/>
      <c r="M143" s="4">
        <f t="shared" si="9"/>
        <v>10632.865386507743</v>
      </c>
      <c r="N143" s="4">
        <f t="shared" si="10"/>
        <v>6.3286538650774276</v>
      </c>
    </row>
    <row r="144" spans="1:14" x14ac:dyDescent="0.25">
      <c r="A144" s="3">
        <v>45499</v>
      </c>
      <c r="B144" t="s">
        <v>53</v>
      </c>
      <c r="C144" t="s">
        <v>18</v>
      </c>
      <c r="E144">
        <v>48.223581070414333</v>
      </c>
      <c r="G144" s="4">
        <f t="shared" si="8"/>
        <v>361.430985370016</v>
      </c>
      <c r="H144" s="4">
        <f t="shared" si="11"/>
        <v>92.526332254724096</v>
      </c>
      <c r="I144" s="4"/>
      <c r="J144" s="4" cm="1">
        <f t="array" ref="J144">IF(C144="EXIT",0.083*_xlfn.XLOOKUP(1,(B$2:B143=B144)*(C$2:C143="ENTRY"),M$2:M143,,0,-1),"")</f>
        <v>749.49014019151241</v>
      </c>
      <c r="K144" s="4"/>
      <c r="L144" s="4"/>
      <c r="M144" s="4">
        <f t="shared" si="9"/>
        <v>10901.770039623036</v>
      </c>
      <c r="N144" s="4">
        <f t="shared" si="10"/>
        <v>9.017700396230353</v>
      </c>
    </row>
    <row r="145" spans="1:14" x14ac:dyDescent="0.25">
      <c r="A145" s="3">
        <v>45499</v>
      </c>
      <c r="B145" t="s">
        <v>32</v>
      </c>
      <c r="C145" t="s">
        <v>18</v>
      </c>
      <c r="E145">
        <v>110.6898532256381</v>
      </c>
      <c r="G145" s="4">
        <f t="shared" si="8"/>
        <v>889.33548453240815</v>
      </c>
      <c r="H145" s="4">
        <f t="shared" si="11"/>
        <v>227.66988404029649</v>
      </c>
      <c r="I145" s="4"/>
      <c r="J145" s="4" cm="1">
        <f t="array" ref="J145">IF(C145="EXIT",0.083*_xlfn.XLOOKUP(1,(B$2:B144=B145)*(C$2:C144="ENTRY"),M$2:M144,,0,-1),"")</f>
        <v>803.44806557790196</v>
      </c>
      <c r="K145" s="4"/>
      <c r="L145" s="4"/>
      <c r="M145" s="4">
        <f t="shared" si="9"/>
        <v>11563.435640115147</v>
      </c>
      <c r="N145" s="4">
        <f t="shared" si="10"/>
        <v>15.634356401151479</v>
      </c>
    </row>
    <row r="146" spans="1:14" x14ac:dyDescent="0.25">
      <c r="A146" s="3">
        <v>45506</v>
      </c>
      <c r="B146" t="s">
        <v>5</v>
      </c>
      <c r="C146" t="s">
        <v>18</v>
      </c>
      <c r="E146">
        <v>31.74100800688166</v>
      </c>
      <c r="G146" s="4">
        <f t="shared" si="8"/>
        <v>280.132306217333</v>
      </c>
      <c r="H146" s="4">
        <f t="shared" si="11"/>
        <v>71.713870391637244</v>
      </c>
      <c r="I146" s="4"/>
      <c r="J146" s="4" cm="1">
        <f t="array" ref="J146">IF(C146="EXIT",0.083*_xlfn.XLOOKUP(1,(B$2:B145=B146)*(C$2:C145="ENTRY"),M$2:M145,,0,-1),"")</f>
        <v>882.55642718277397</v>
      </c>
      <c r="K146" s="4"/>
      <c r="L146" s="4"/>
      <c r="M146" s="4">
        <f t="shared" si="9"/>
        <v>11771.854075940842</v>
      </c>
      <c r="N146" s="4">
        <f t="shared" si="10"/>
        <v>17.718540759408427</v>
      </c>
    </row>
    <row r="147" spans="1:14" x14ac:dyDescent="0.25">
      <c r="A147" s="3">
        <v>45506</v>
      </c>
      <c r="B147" t="s">
        <v>61</v>
      </c>
      <c r="C147" t="s">
        <v>18</v>
      </c>
      <c r="D147">
        <v>0.71427184466019433</v>
      </c>
      <c r="E147">
        <v>-19.109778748434572</v>
      </c>
      <c r="G147" s="4">
        <f t="shared" ref="G147:G210" si="12">IF(C147="EXIT",J147/100*E147,"")</f>
        <v>-168.10928890245614</v>
      </c>
      <c r="H147" s="4">
        <f t="shared" si="11"/>
        <v>-43.03597795902877</v>
      </c>
      <c r="I147" s="4"/>
      <c r="J147" s="4" cm="1">
        <f t="array" ref="J147">IF(C147="EXIT",0.083*_xlfn.XLOOKUP(1,(B$2:B146=B147)*(C$2:C146="ENTRY"),M$2:M146,,0,-1),"")</f>
        <v>879.70295792266711</v>
      </c>
      <c r="K147" s="4"/>
      <c r="L147" s="4"/>
      <c r="M147" s="4">
        <f t="shared" ref="M147:M210" si="13">IFERROR(M146+G147-H147,M146)</f>
        <v>11646.780764997415</v>
      </c>
      <c r="N147" s="4">
        <f t="shared" ref="N147:N210" si="14">100/M$1*M147-100</f>
        <v>16.467807649974148</v>
      </c>
    </row>
    <row r="148" spans="1:14" x14ac:dyDescent="0.25">
      <c r="A148" s="3">
        <v>45506</v>
      </c>
      <c r="B148" t="s">
        <v>62</v>
      </c>
      <c r="C148" t="s">
        <v>18</v>
      </c>
      <c r="D148">
        <v>0.70990291262135941</v>
      </c>
      <c r="E148">
        <v>-12.1469279171318</v>
      </c>
      <c r="G148" s="4">
        <f t="shared" si="12"/>
        <v>-107.18234458718385</v>
      </c>
      <c r="H148" s="4">
        <f t="shared" si="11"/>
        <v>-27.438680214319067</v>
      </c>
      <c r="I148" s="4"/>
      <c r="J148" s="4" cm="1">
        <f t="array" ref="J148">IF(C148="EXIT",0.083*_xlfn.XLOOKUP(1,(B$2:B147=B148)*(C$2:C147="ENTRY"),M$2:M147,,0,-1),"")</f>
        <v>882.38232183806633</v>
      </c>
      <c r="K148" s="4"/>
      <c r="L148" s="4"/>
      <c r="M148" s="4">
        <f t="shared" si="13"/>
        <v>11567.037100624551</v>
      </c>
      <c r="N148" s="4">
        <f t="shared" si="14"/>
        <v>15.670371006245517</v>
      </c>
    </row>
    <row r="149" spans="1:14" x14ac:dyDescent="0.25">
      <c r="A149" s="3">
        <v>45506</v>
      </c>
      <c r="B149" t="s">
        <v>45</v>
      </c>
      <c r="C149" t="s">
        <v>18</v>
      </c>
      <c r="E149">
        <v>-15.46866532209869</v>
      </c>
      <c r="G149" s="4">
        <f t="shared" si="12"/>
        <v>-136.5633828614634</v>
      </c>
      <c r="H149" s="4">
        <f t="shared" si="11"/>
        <v>-34.960226012534633</v>
      </c>
      <c r="I149" s="4"/>
      <c r="J149" s="4" cm="1">
        <f t="array" ref="J149">IF(C149="EXIT",0.083*_xlfn.XLOOKUP(1,(B$2:B148=B149)*(C$2:C148="ENTRY"),M$2:M148,,0,-1),"")</f>
        <v>882.83882298731726</v>
      </c>
      <c r="K149" s="4"/>
      <c r="L149" s="4"/>
      <c r="M149" s="4">
        <f t="shared" si="13"/>
        <v>11465.433943775623</v>
      </c>
      <c r="N149" s="4">
        <f t="shared" si="14"/>
        <v>14.654339437756221</v>
      </c>
    </row>
    <row r="150" spans="1:14" x14ac:dyDescent="0.25">
      <c r="A150" s="3">
        <v>45506</v>
      </c>
      <c r="B150" t="s">
        <v>64</v>
      </c>
      <c r="C150" t="s">
        <v>6</v>
      </c>
      <c r="D150">
        <v>0.91679611650485449</v>
      </c>
      <c r="G150" s="4" t="str">
        <f t="shared" si="12"/>
        <v/>
      </c>
      <c r="H150" s="4" t="str">
        <f t="shared" si="11"/>
        <v/>
      </c>
      <c r="I150" s="4"/>
      <c r="J150" s="4" t="str" cm="1">
        <f t="array" ref="J150">IF(C150="EXIT",0.083*_xlfn.XLOOKUP(1,(B$2:B149=B150)*(C$2:C149="ENTRY"),M$2:M149,,0,-1),"")</f>
        <v/>
      </c>
      <c r="K150" s="4"/>
      <c r="L150" s="4"/>
      <c r="M150" s="4">
        <f t="shared" si="13"/>
        <v>11465.433943775623</v>
      </c>
      <c r="N150" s="4">
        <f t="shared" si="14"/>
        <v>14.654339437756221</v>
      </c>
    </row>
    <row r="151" spans="1:14" x14ac:dyDescent="0.25">
      <c r="A151" s="3">
        <v>45506</v>
      </c>
      <c r="B151" t="s">
        <v>65</v>
      </c>
      <c r="C151" t="s">
        <v>6</v>
      </c>
      <c r="D151">
        <v>0.91631067961165047</v>
      </c>
      <c r="G151" s="4" t="str">
        <f t="shared" si="12"/>
        <v/>
      </c>
      <c r="H151" s="4" t="str">
        <f t="shared" si="11"/>
        <v/>
      </c>
      <c r="I151" s="4"/>
      <c r="J151" s="4" t="str" cm="1">
        <f t="array" ref="J151">IF(C151="EXIT",0.083*_xlfn.XLOOKUP(1,(B$2:B150=B151)*(C$2:C150="ENTRY"),M$2:M150,,0,-1),"")</f>
        <v/>
      </c>
      <c r="K151" s="4"/>
      <c r="L151" s="4"/>
      <c r="M151" s="4">
        <f t="shared" si="13"/>
        <v>11465.433943775623</v>
      </c>
      <c r="N151" s="4">
        <f t="shared" si="14"/>
        <v>14.654339437756221</v>
      </c>
    </row>
    <row r="152" spans="1:14" x14ac:dyDescent="0.25">
      <c r="A152" s="3">
        <v>45506</v>
      </c>
      <c r="B152" t="s">
        <v>66</v>
      </c>
      <c r="C152" t="s">
        <v>6</v>
      </c>
      <c r="D152">
        <v>0.90902912621359233</v>
      </c>
      <c r="G152" s="4" t="str">
        <f t="shared" si="12"/>
        <v/>
      </c>
      <c r="H152" s="4" t="str">
        <f t="shared" si="11"/>
        <v/>
      </c>
      <c r="I152" s="4"/>
      <c r="J152" s="4" t="str" cm="1">
        <f t="array" ref="J152">IF(C152="EXIT",0.083*_xlfn.XLOOKUP(1,(B$2:B151=B152)*(C$2:C151="ENTRY"),M$2:M151,,0,-1),"")</f>
        <v/>
      </c>
      <c r="K152" s="4"/>
      <c r="L152" s="4"/>
      <c r="M152" s="4">
        <f t="shared" si="13"/>
        <v>11465.433943775623</v>
      </c>
      <c r="N152" s="4">
        <f t="shared" si="14"/>
        <v>14.654339437756221</v>
      </c>
    </row>
    <row r="153" spans="1:14" x14ac:dyDescent="0.25">
      <c r="A153" s="3">
        <v>45506</v>
      </c>
      <c r="B153" t="s">
        <v>67</v>
      </c>
      <c r="C153" t="s">
        <v>6</v>
      </c>
      <c r="D153">
        <v>0.88000000000000012</v>
      </c>
      <c r="G153" s="4" t="str">
        <f t="shared" si="12"/>
        <v/>
      </c>
      <c r="H153" s="4" t="str">
        <f t="shared" si="11"/>
        <v/>
      </c>
      <c r="I153" s="4"/>
      <c r="J153" s="4" t="str" cm="1">
        <f t="array" ref="J153">IF(C153="EXIT",0.083*_xlfn.XLOOKUP(1,(B$2:B152=B153)*(C$2:C152="ENTRY"),M$2:M152,,0,-1),"")</f>
        <v/>
      </c>
      <c r="K153" s="4"/>
      <c r="L153" s="4"/>
      <c r="M153" s="4">
        <f t="shared" si="13"/>
        <v>11465.433943775623</v>
      </c>
      <c r="N153" s="4">
        <f t="shared" si="14"/>
        <v>14.654339437756221</v>
      </c>
    </row>
    <row r="154" spans="1:14" x14ac:dyDescent="0.25">
      <c r="A154" s="3">
        <v>45541</v>
      </c>
      <c r="B154" t="s">
        <v>43</v>
      </c>
      <c r="C154" t="s">
        <v>18</v>
      </c>
      <c r="D154">
        <v>0.68548076923076928</v>
      </c>
      <c r="E154">
        <v>1.833591230787412</v>
      </c>
      <c r="G154" s="4">
        <f t="shared" si="12"/>
        <v>16.052176389154113</v>
      </c>
      <c r="H154" s="4">
        <f t="shared" si="11"/>
        <v>4.1093571556234529</v>
      </c>
      <c r="I154" s="4"/>
      <c r="J154" s="4" cm="1">
        <f t="array" ref="J154">IF(C154="EXIT",0.083*_xlfn.XLOOKUP(1,(B$2:B153=B154)*(C$2:C153="ENTRY"),M$2:M153,,0,-1),"")</f>
        <v>875.45010685182615</v>
      </c>
      <c r="K154" s="4"/>
      <c r="L154" s="4"/>
      <c r="M154" s="4">
        <f t="shared" si="13"/>
        <v>11477.376763009153</v>
      </c>
      <c r="N154" s="4">
        <f t="shared" si="14"/>
        <v>14.773767630091541</v>
      </c>
    </row>
    <row r="155" spans="1:14" x14ac:dyDescent="0.25">
      <c r="A155" s="3">
        <v>45541</v>
      </c>
      <c r="B155" t="s">
        <v>31</v>
      </c>
      <c r="C155" t="s">
        <v>6</v>
      </c>
      <c r="D155">
        <v>0.92461538461538473</v>
      </c>
      <c r="G155" s="4" t="str">
        <f t="shared" si="12"/>
        <v/>
      </c>
      <c r="H155" s="4" t="str">
        <f t="shared" si="11"/>
        <v/>
      </c>
      <c r="I155" s="4"/>
      <c r="J155" s="4" t="str" cm="1">
        <f t="array" ref="J155">IF(C155="EXIT",0.083*_xlfn.XLOOKUP(1,(B$2:B154=B155)*(C$2:C154="ENTRY"),M$2:M154,,0,-1),"")</f>
        <v/>
      </c>
      <c r="K155" s="4"/>
      <c r="L155" s="4"/>
      <c r="M155" s="4">
        <f t="shared" si="13"/>
        <v>11477.376763009153</v>
      </c>
      <c r="N155" s="4">
        <f t="shared" si="14"/>
        <v>14.773767630091541</v>
      </c>
    </row>
    <row r="156" spans="1:14" x14ac:dyDescent="0.25">
      <c r="A156" s="3">
        <v>45548</v>
      </c>
      <c r="B156" t="s">
        <v>17</v>
      </c>
      <c r="C156" t="s">
        <v>18</v>
      </c>
      <c r="D156">
        <v>0.70067307692307701</v>
      </c>
      <c r="E156">
        <v>7.8941775815300153</v>
      </c>
      <c r="G156" s="4">
        <f t="shared" si="12"/>
        <v>69.109586072577414</v>
      </c>
      <c r="H156" s="4">
        <f t="shared" si="11"/>
        <v>17.692054034579819</v>
      </c>
      <c r="I156" s="4"/>
      <c r="J156" s="4" cm="1">
        <f t="array" ref="J156">IF(C156="EXIT",0.083*_xlfn.XLOOKUP(1,(B$2:B155=B156)*(C$2:C155="ENTRY"),M$2:M155,,0,-1),"")</f>
        <v>875.45010685182615</v>
      </c>
      <c r="K156" s="4"/>
      <c r="L156" s="4"/>
      <c r="M156" s="4">
        <f t="shared" si="13"/>
        <v>11528.794295047152</v>
      </c>
      <c r="N156" s="4">
        <f t="shared" si="14"/>
        <v>15.287942950471518</v>
      </c>
    </row>
    <row r="157" spans="1:14" x14ac:dyDescent="0.25">
      <c r="A157" s="3">
        <v>45548</v>
      </c>
      <c r="B157" t="s">
        <v>68</v>
      </c>
      <c r="C157" t="s">
        <v>6</v>
      </c>
      <c r="D157">
        <v>0.89076923076923098</v>
      </c>
      <c r="G157" s="4" t="str">
        <f t="shared" si="12"/>
        <v/>
      </c>
      <c r="H157" s="4" t="str">
        <f t="shared" si="11"/>
        <v/>
      </c>
      <c r="I157" s="4"/>
      <c r="J157" s="4" t="str" cm="1">
        <f t="array" ref="J157">IF(C157="EXIT",0.083*_xlfn.XLOOKUP(1,(B$2:B156=B157)*(C$2:C156="ENTRY"),M$2:M156,,0,-1),"")</f>
        <v/>
      </c>
      <c r="K157" s="4"/>
      <c r="L157" s="4"/>
      <c r="M157" s="4">
        <f t="shared" si="13"/>
        <v>11528.794295047152</v>
      </c>
      <c r="N157" s="4">
        <f t="shared" si="14"/>
        <v>15.287942950471518</v>
      </c>
    </row>
    <row r="158" spans="1:14" x14ac:dyDescent="0.25">
      <c r="A158" s="3">
        <v>45555</v>
      </c>
      <c r="B158" t="s">
        <v>43</v>
      </c>
      <c r="C158" t="s">
        <v>6</v>
      </c>
      <c r="D158">
        <v>0.94509615384615397</v>
      </c>
      <c r="G158" s="4" t="str">
        <f t="shared" si="12"/>
        <v/>
      </c>
      <c r="H158" s="4" t="str">
        <f t="shared" si="11"/>
        <v/>
      </c>
      <c r="I158" s="4"/>
      <c r="J158" s="4" t="str" cm="1">
        <f t="array" ref="J158">IF(C158="EXIT",0.083*_xlfn.XLOOKUP(1,(B$2:B157=B158)*(C$2:C157="ENTRY"),M$2:M157,,0,-1),"")</f>
        <v/>
      </c>
      <c r="K158" s="4"/>
      <c r="L158" s="4"/>
      <c r="M158" s="4">
        <f t="shared" si="13"/>
        <v>11528.794295047152</v>
      </c>
      <c r="N158" s="4">
        <f t="shared" si="14"/>
        <v>15.287942950471518</v>
      </c>
    </row>
    <row r="159" spans="1:14" x14ac:dyDescent="0.25">
      <c r="A159" s="3">
        <v>45555</v>
      </c>
      <c r="B159" t="s">
        <v>20</v>
      </c>
      <c r="C159" t="s">
        <v>18</v>
      </c>
      <c r="E159">
        <v>-6.126074332601295</v>
      </c>
      <c r="G159" s="4">
        <f t="shared" si="12"/>
        <v>-54.064310692820563</v>
      </c>
      <c r="H159" s="4">
        <f t="shared" si="11"/>
        <v>-13.840463537362064</v>
      </c>
      <c r="I159" s="4"/>
      <c r="J159" s="4" cm="1">
        <f t="array" ref="J159">IF(C159="EXIT",0.083*_xlfn.XLOOKUP(1,(B$2:B158=B159)*(C$2:C158="ENTRY"),M$2:M158,,0,-1),"")</f>
        <v>882.52782708014274</v>
      </c>
      <c r="K159" s="4"/>
      <c r="L159" s="4"/>
      <c r="M159" s="4">
        <f t="shared" si="13"/>
        <v>11488.570447891694</v>
      </c>
      <c r="N159" s="4">
        <f t="shared" si="14"/>
        <v>14.885704478916949</v>
      </c>
    </row>
    <row r="160" spans="1:14" x14ac:dyDescent="0.25">
      <c r="A160" s="3">
        <v>45576</v>
      </c>
      <c r="B160" t="s">
        <v>64</v>
      </c>
      <c r="C160" t="s">
        <v>18</v>
      </c>
      <c r="D160">
        <v>0.71817307692307697</v>
      </c>
      <c r="E160">
        <v>-2.603536238829518</v>
      </c>
      <c r="G160" s="4">
        <f t="shared" si="12"/>
        <v>-24.776058396216477</v>
      </c>
      <c r="H160" s="4">
        <f t="shared" si="11"/>
        <v>-6.342670949431418</v>
      </c>
      <c r="I160" s="4"/>
      <c r="J160" s="4" cm="1">
        <f t="array" ref="J160">IF(C160="EXIT",0.083*_xlfn.XLOOKUP(1,(B$2:B159=B160)*(C$2:C159="ENTRY"),M$2:M159,,0,-1),"")</f>
        <v>951.63101733337669</v>
      </c>
      <c r="K160" s="4"/>
      <c r="L160" s="4"/>
      <c r="M160" s="4">
        <f t="shared" si="13"/>
        <v>11470.137060444908</v>
      </c>
      <c r="N160" s="4">
        <f t="shared" si="14"/>
        <v>14.701370604449082</v>
      </c>
    </row>
    <row r="161" spans="1:14" x14ac:dyDescent="0.25">
      <c r="A161" s="3">
        <v>45576</v>
      </c>
      <c r="B161" t="s">
        <v>32</v>
      </c>
      <c r="C161" t="s">
        <v>6</v>
      </c>
      <c r="D161">
        <v>0.88990384615384621</v>
      </c>
      <c r="G161" s="4" t="str">
        <f t="shared" si="12"/>
        <v/>
      </c>
      <c r="H161" s="4" t="str">
        <f t="shared" si="11"/>
        <v/>
      </c>
      <c r="I161" s="4"/>
      <c r="J161" s="4" t="str" cm="1">
        <f t="array" ref="J161">IF(C161="EXIT",0.083*_xlfn.XLOOKUP(1,(B$2:B160=B161)*(C$2:C160="ENTRY"),M$2:M160,,0,-1),"")</f>
        <v/>
      </c>
      <c r="K161" s="4"/>
      <c r="L161" s="4"/>
      <c r="M161" s="4">
        <f t="shared" si="13"/>
        <v>11470.137060444908</v>
      </c>
      <c r="N161" s="4">
        <f t="shared" si="14"/>
        <v>14.701370604449082</v>
      </c>
    </row>
    <row r="162" spans="1:14" x14ac:dyDescent="0.25">
      <c r="A162" s="3">
        <v>45597</v>
      </c>
      <c r="B162" t="s">
        <v>67</v>
      </c>
      <c r="C162" t="s">
        <v>18</v>
      </c>
      <c r="D162">
        <v>0.74384615384615393</v>
      </c>
      <c r="E162">
        <v>3.8771874155263619</v>
      </c>
      <c r="G162" s="4">
        <f t="shared" si="12"/>
        <v>36.896518046295178</v>
      </c>
      <c r="H162" s="4">
        <f t="shared" si="11"/>
        <v>9.4455086198515659</v>
      </c>
      <c r="I162" s="4"/>
      <c r="J162" s="4" cm="1">
        <f t="array" ref="J162">IF(C162="EXIT",0.083*_xlfn.XLOOKUP(1,(B$2:B161=B162)*(C$2:C161="ENTRY"),M$2:M161,,0,-1),"")</f>
        <v>951.63101733337669</v>
      </c>
      <c r="K162" s="4"/>
      <c r="L162" s="4"/>
      <c r="M162" s="4">
        <f t="shared" si="13"/>
        <v>11497.58806987135</v>
      </c>
      <c r="N162" s="4">
        <f t="shared" si="14"/>
        <v>14.975880698713496</v>
      </c>
    </row>
    <row r="163" spans="1:14" x14ac:dyDescent="0.25">
      <c r="A163" s="3">
        <v>45597</v>
      </c>
      <c r="B163" t="s">
        <v>39</v>
      </c>
      <c r="C163" t="s">
        <v>6</v>
      </c>
      <c r="D163">
        <v>0.95980769230769225</v>
      </c>
      <c r="G163" s="4" t="str">
        <f t="shared" si="12"/>
        <v/>
      </c>
      <c r="H163" s="4" t="str">
        <f t="shared" si="11"/>
        <v/>
      </c>
      <c r="I163" s="4"/>
      <c r="J163" s="4" t="str" cm="1">
        <f t="array" ref="J163">IF(C163="EXIT",0.083*_xlfn.XLOOKUP(1,(B$2:B162=B163)*(C$2:C162="ENTRY"),M$2:M162,,0,-1),"")</f>
        <v/>
      </c>
      <c r="K163" s="4"/>
      <c r="L163" s="4"/>
      <c r="M163" s="4">
        <f t="shared" si="13"/>
        <v>11497.58806987135</v>
      </c>
      <c r="N163" s="4">
        <f t="shared" si="14"/>
        <v>14.975880698713496</v>
      </c>
    </row>
    <row r="164" spans="1:14" x14ac:dyDescent="0.25">
      <c r="A164" s="3">
        <v>45604</v>
      </c>
      <c r="B164" t="s">
        <v>31</v>
      </c>
      <c r="C164" t="s">
        <v>18</v>
      </c>
      <c r="E164">
        <v>-5.7420526300326458</v>
      </c>
      <c r="G164" s="4">
        <f t="shared" si="12"/>
        <v>-54.700072185167194</v>
      </c>
      <c r="H164" s="4">
        <f t="shared" si="11"/>
        <v>-14.003218479402802</v>
      </c>
      <c r="I164" s="4"/>
      <c r="J164" s="4" cm="1">
        <f t="array" ref="J164">IF(C164="EXIT",0.083*_xlfn.XLOOKUP(1,(B$2:B163=B164)*(C$2:C163="ENTRY"),M$2:M163,,0,-1),"")</f>
        <v>952.62227132975977</v>
      </c>
      <c r="K164" s="4"/>
      <c r="L164" s="4"/>
      <c r="M164" s="4">
        <f t="shared" si="13"/>
        <v>11456.891216165586</v>
      </c>
      <c r="N164" s="4">
        <f t="shared" si="14"/>
        <v>14.568912161655859</v>
      </c>
    </row>
    <row r="165" spans="1:14" x14ac:dyDescent="0.25">
      <c r="A165" s="3">
        <v>45604</v>
      </c>
      <c r="B165" t="s">
        <v>58</v>
      </c>
      <c r="C165" t="s">
        <v>6</v>
      </c>
      <c r="D165">
        <v>0.96336538461538457</v>
      </c>
      <c r="G165" s="4" t="str">
        <f t="shared" si="12"/>
        <v/>
      </c>
      <c r="H165" s="4" t="str">
        <f t="shared" si="11"/>
        <v/>
      </c>
      <c r="I165" s="4"/>
      <c r="J165" s="4" t="str" cm="1">
        <f t="array" ref="J165">IF(C165="EXIT",0.083*_xlfn.XLOOKUP(1,(B$2:B164=B165)*(C$2:C164="ENTRY"),M$2:M164,,0,-1),"")</f>
        <v/>
      </c>
      <c r="K165" s="4"/>
      <c r="L165" s="4"/>
      <c r="M165" s="4">
        <f t="shared" si="13"/>
        <v>11456.891216165586</v>
      </c>
      <c r="N165" s="4">
        <f t="shared" si="14"/>
        <v>14.568912161655859</v>
      </c>
    </row>
    <row r="166" spans="1:14" x14ac:dyDescent="0.25">
      <c r="A166" s="3">
        <v>45611</v>
      </c>
      <c r="B166" t="s">
        <v>68</v>
      </c>
      <c r="C166" t="s">
        <v>18</v>
      </c>
      <c r="E166">
        <v>-12.64843591453339</v>
      </c>
      <c r="G166" s="4">
        <f t="shared" si="12"/>
        <v>-121.03160912457591</v>
      </c>
      <c r="H166" s="4">
        <f t="shared" si="11"/>
        <v>-30.984091935891435</v>
      </c>
      <c r="I166" s="4"/>
      <c r="J166" s="4" cm="1">
        <f t="array" ref="J166">IF(C166="EXIT",0.083*_xlfn.XLOOKUP(1,(B$2:B165=B166)*(C$2:C165="ENTRY"),M$2:M165,,0,-1),"")</f>
        <v>956.8899264889136</v>
      </c>
      <c r="K166" s="4"/>
      <c r="L166" s="4"/>
      <c r="M166" s="4">
        <f t="shared" si="13"/>
        <v>11366.843698976902</v>
      </c>
      <c r="N166" s="4">
        <f t="shared" si="14"/>
        <v>13.66843698976902</v>
      </c>
    </row>
    <row r="167" spans="1:14" x14ac:dyDescent="0.25">
      <c r="A167" s="3">
        <v>45611</v>
      </c>
      <c r="B167" t="s">
        <v>43</v>
      </c>
      <c r="C167" t="s">
        <v>18</v>
      </c>
      <c r="E167">
        <v>-11.902169602231149</v>
      </c>
      <c r="G167" s="4">
        <f t="shared" si="12"/>
        <v>-113.89066195737547</v>
      </c>
      <c r="H167" s="4">
        <f t="shared" si="11"/>
        <v>-29.156009461088122</v>
      </c>
      <c r="I167" s="4"/>
      <c r="J167" s="4" cm="1">
        <f t="array" ref="J167">IF(C167="EXIT",0.083*_xlfn.XLOOKUP(1,(B$2:B166=B167)*(C$2:C166="ENTRY"),M$2:M166,,0,-1),"")</f>
        <v>956.8899264889136</v>
      </c>
      <c r="K167" s="4"/>
      <c r="L167" s="4"/>
      <c r="M167" s="4">
        <f t="shared" si="13"/>
        <v>11282.109046480615</v>
      </c>
      <c r="N167" s="4">
        <f t="shared" si="14"/>
        <v>12.821090464806147</v>
      </c>
    </row>
    <row r="168" spans="1:14" x14ac:dyDescent="0.25">
      <c r="A168" s="3">
        <v>45611</v>
      </c>
      <c r="B168" t="s">
        <v>42</v>
      </c>
      <c r="C168" t="s">
        <v>6</v>
      </c>
      <c r="D168">
        <v>0.9701923076923078</v>
      </c>
      <c r="G168" s="4" t="str">
        <f t="shared" si="12"/>
        <v/>
      </c>
      <c r="H168" s="4" t="str">
        <f t="shared" si="11"/>
        <v/>
      </c>
      <c r="I168" s="4"/>
      <c r="J168" s="4" t="str" cm="1">
        <f t="array" ref="J168">IF(C168="EXIT",0.083*_xlfn.XLOOKUP(1,(B$2:B167=B168)*(C$2:C167="ENTRY"),M$2:M167,,0,-1),"")</f>
        <v/>
      </c>
      <c r="K168" s="4"/>
      <c r="L168" s="4"/>
      <c r="M168" s="4">
        <f t="shared" si="13"/>
        <v>11282.109046480615</v>
      </c>
      <c r="N168" s="4">
        <f t="shared" si="14"/>
        <v>12.821090464806147</v>
      </c>
    </row>
    <row r="169" spans="1:14" x14ac:dyDescent="0.25">
      <c r="A169" s="3">
        <v>45611</v>
      </c>
      <c r="B169" t="s">
        <v>25</v>
      </c>
      <c r="C169" t="s">
        <v>6</v>
      </c>
      <c r="D169">
        <v>0.92028846153846156</v>
      </c>
      <c r="G169" s="4" t="str">
        <f t="shared" si="12"/>
        <v/>
      </c>
      <c r="H169" s="4" t="str">
        <f t="shared" si="11"/>
        <v/>
      </c>
      <c r="I169" s="4"/>
      <c r="J169" s="4" t="str" cm="1">
        <f t="array" ref="J169">IF(C169="EXIT",0.083*_xlfn.XLOOKUP(1,(B$2:B168=B169)*(C$2:C168="ENTRY"),M$2:M168,,0,-1),"")</f>
        <v/>
      </c>
      <c r="K169" s="4"/>
      <c r="L169" s="4"/>
      <c r="M169" s="4">
        <f t="shared" si="13"/>
        <v>11282.109046480615</v>
      </c>
      <c r="N169" s="4">
        <f t="shared" si="14"/>
        <v>12.821090464806147</v>
      </c>
    </row>
    <row r="170" spans="1:14" x14ac:dyDescent="0.25">
      <c r="A170" s="3">
        <v>45625</v>
      </c>
      <c r="B170" t="s">
        <v>37</v>
      </c>
      <c r="C170" t="s">
        <v>18</v>
      </c>
      <c r="E170">
        <v>104.6871609881812</v>
      </c>
      <c r="G170" s="4">
        <f t="shared" si="12"/>
        <v>812.79772932644221</v>
      </c>
      <c r="H170" s="4">
        <f t="shared" si="11"/>
        <v>208.07621870756921</v>
      </c>
      <c r="I170" s="4"/>
      <c r="J170" s="4" cm="1">
        <f t="array" ref="J170">IF(C170="EXIT",0.083*_xlfn.XLOOKUP(1,(B$2:B169=B170)*(C$2:C169="ENTRY"),M$2:M169,,0,-1),"")</f>
        <v>776.40631540118284</v>
      </c>
      <c r="K170" s="4"/>
      <c r="L170" s="4"/>
      <c r="M170" s="4">
        <f t="shared" si="13"/>
        <v>11886.830557099489</v>
      </c>
      <c r="N170" s="4">
        <f t="shared" si="14"/>
        <v>18.868305570994892</v>
      </c>
    </row>
    <row r="171" spans="1:14" x14ac:dyDescent="0.25">
      <c r="A171" s="3">
        <v>45625</v>
      </c>
      <c r="B171" t="s">
        <v>36</v>
      </c>
      <c r="C171" t="s">
        <v>6</v>
      </c>
      <c r="D171">
        <v>0.92096153846153839</v>
      </c>
      <c r="G171" s="4" t="str">
        <f t="shared" si="12"/>
        <v/>
      </c>
      <c r="H171" s="4" t="str">
        <f t="shared" si="11"/>
        <v/>
      </c>
      <c r="I171" s="4"/>
      <c r="J171" s="4" t="str" cm="1">
        <f t="array" ref="J171">IF(C171="EXIT",0.083*_xlfn.XLOOKUP(1,(B$2:B170=B171)*(C$2:C170="ENTRY"),M$2:M170,,0,-1),"")</f>
        <v/>
      </c>
      <c r="K171" s="4"/>
      <c r="L171" s="4"/>
      <c r="M171" s="4">
        <f t="shared" si="13"/>
        <v>11886.830557099489</v>
      </c>
      <c r="N171" s="4">
        <f t="shared" si="14"/>
        <v>18.868305570994892</v>
      </c>
    </row>
    <row r="172" spans="1:14" x14ac:dyDescent="0.25">
      <c r="A172" s="3">
        <v>45646</v>
      </c>
      <c r="B172" t="s">
        <v>44</v>
      </c>
      <c r="C172" t="s">
        <v>6</v>
      </c>
      <c r="D172">
        <v>1</v>
      </c>
      <c r="G172" s="4" t="str">
        <f t="shared" si="12"/>
        <v/>
      </c>
      <c r="H172" s="4" t="str">
        <f t="shared" si="11"/>
        <v/>
      </c>
      <c r="I172" s="4"/>
      <c r="J172" s="4" t="str" cm="1">
        <f t="array" ref="J172">IF(C172="EXIT",0.083*_xlfn.XLOOKUP(1,(B$2:B171=B172)*(C$2:C171="ENTRY"),M$2:M171,,0,-1),"")</f>
        <v/>
      </c>
      <c r="K172" s="4"/>
      <c r="L172" s="4"/>
      <c r="M172" s="4">
        <f t="shared" si="13"/>
        <v>11886.830557099489</v>
      </c>
      <c r="N172" s="4">
        <f t="shared" si="14"/>
        <v>18.868305570994892</v>
      </c>
    </row>
    <row r="173" spans="1:14" x14ac:dyDescent="0.25">
      <c r="A173" s="3">
        <v>45646</v>
      </c>
      <c r="B173" t="s">
        <v>14</v>
      </c>
      <c r="C173" t="s">
        <v>18</v>
      </c>
      <c r="E173">
        <v>-1.0440174451873729</v>
      </c>
      <c r="G173" s="4">
        <f t="shared" si="12"/>
        <v>-9.2137444733497418</v>
      </c>
      <c r="H173" s="4">
        <f t="shared" si="11"/>
        <v>-2.3587185851775341</v>
      </c>
      <c r="I173" s="4"/>
      <c r="J173" s="4" cm="1">
        <f t="array" ref="J173">IF(C173="EXIT",0.083*_xlfn.XLOOKUP(1,(B$2:B172=B173)*(C$2:C172="ENTRY"),M$2:M172,,0,-1),"")</f>
        <v>882.52782708014274</v>
      </c>
      <c r="K173" s="4"/>
      <c r="L173" s="4"/>
      <c r="M173" s="4">
        <f t="shared" si="13"/>
        <v>11879.975531211318</v>
      </c>
      <c r="N173" s="4">
        <f t="shared" si="14"/>
        <v>18.799755312113177</v>
      </c>
    </row>
    <row r="174" spans="1:14" x14ac:dyDescent="0.25">
      <c r="A174" s="3">
        <v>45660</v>
      </c>
      <c r="B174" t="s">
        <v>63</v>
      </c>
      <c r="C174" t="s">
        <v>18</v>
      </c>
      <c r="E174">
        <v>12.25512156363928</v>
      </c>
      <c r="G174" s="4">
        <f t="shared" si="12"/>
        <v>108.15485804161574</v>
      </c>
      <c r="H174" s="4">
        <f t="shared" si="11"/>
        <v>27.687643658653631</v>
      </c>
      <c r="I174" s="4"/>
      <c r="J174" s="4" cm="1">
        <f t="array" ref="J174">IF(C174="EXIT",0.083*_xlfn.XLOOKUP(1,(B$2:B173=B174)*(C$2:C173="ENTRY"),M$2:M173,,0,-1),"")</f>
        <v>882.52782708014274</v>
      </c>
      <c r="K174" s="4"/>
      <c r="L174" s="4"/>
      <c r="M174" s="4">
        <f t="shared" si="13"/>
        <v>11960.44274559428</v>
      </c>
      <c r="N174" s="4">
        <f t="shared" si="14"/>
        <v>19.604427455942812</v>
      </c>
    </row>
    <row r="175" spans="1:14" x14ac:dyDescent="0.25">
      <c r="A175" s="3">
        <v>45660</v>
      </c>
      <c r="B175" t="s">
        <v>69</v>
      </c>
      <c r="C175" t="s">
        <v>6</v>
      </c>
      <c r="D175">
        <v>0.99230799999999997</v>
      </c>
      <c r="G175" s="4" t="str">
        <f t="shared" si="12"/>
        <v/>
      </c>
      <c r="H175" s="4" t="str">
        <f t="shared" si="11"/>
        <v/>
      </c>
      <c r="I175" s="4"/>
      <c r="J175" s="4" t="str" cm="1">
        <f t="array" ref="J175">IF(C175="EXIT",0.083*_xlfn.XLOOKUP(1,(B$2:B174=B175)*(C$2:C174="ENTRY"),M$2:M174,,0,-1),"")</f>
        <v/>
      </c>
      <c r="K175" s="4"/>
      <c r="L175" s="4"/>
      <c r="M175" s="4">
        <f t="shared" si="13"/>
        <v>11960.44274559428</v>
      </c>
      <c r="N175" s="4">
        <f t="shared" si="14"/>
        <v>19.604427455942812</v>
      </c>
    </row>
    <row r="176" spans="1:14" x14ac:dyDescent="0.25">
      <c r="A176" s="3">
        <v>45667</v>
      </c>
      <c r="B176" t="s">
        <v>66</v>
      </c>
      <c r="C176" t="s">
        <v>18</v>
      </c>
      <c r="D176">
        <v>0.73624999999999996</v>
      </c>
      <c r="E176">
        <v>12.710923382101329</v>
      </c>
      <c r="G176" s="4">
        <f t="shared" si="12"/>
        <v>120.96108949355694</v>
      </c>
      <c r="H176" s="4">
        <f t="shared" si="11"/>
        <v>30.966038910350576</v>
      </c>
      <c r="I176" s="4"/>
      <c r="J176" s="4" cm="1">
        <f t="array" ref="J176">IF(C176="EXIT",0.083*_xlfn.XLOOKUP(1,(B$2:B175=B176)*(C$2:C175="ENTRY"),M$2:M175,,0,-1),"")</f>
        <v>951.63101733337669</v>
      </c>
      <c r="K176" s="4"/>
      <c r="L176" s="4"/>
      <c r="M176" s="4">
        <f t="shared" si="13"/>
        <v>12050.437796177488</v>
      </c>
      <c r="N176" s="4">
        <f t="shared" si="14"/>
        <v>20.504377961774878</v>
      </c>
    </row>
    <row r="177" spans="1:14" x14ac:dyDescent="0.25">
      <c r="A177" s="3">
        <v>45667</v>
      </c>
      <c r="B177" t="s">
        <v>43</v>
      </c>
      <c r="C177" t="s">
        <v>6</v>
      </c>
      <c r="D177">
        <v>0.96557700000000002</v>
      </c>
      <c r="G177" s="4" t="str">
        <f t="shared" si="12"/>
        <v/>
      </c>
      <c r="H177" s="4" t="str">
        <f t="shared" si="11"/>
        <v/>
      </c>
      <c r="I177" s="4"/>
      <c r="J177" s="4" t="str" cm="1">
        <f t="array" ref="J177">IF(C177="EXIT",0.083*_xlfn.XLOOKUP(1,(B$2:B176=B177)*(C$2:C176="ENTRY"),M$2:M176,,0,-1),"")</f>
        <v/>
      </c>
      <c r="K177" s="4"/>
      <c r="L177" s="4"/>
      <c r="M177" s="4">
        <f t="shared" si="13"/>
        <v>12050.437796177488</v>
      </c>
      <c r="N177" s="4">
        <f t="shared" si="14"/>
        <v>20.504377961774878</v>
      </c>
    </row>
    <row r="178" spans="1:14" x14ac:dyDescent="0.25">
      <c r="A178" s="3">
        <v>45688</v>
      </c>
      <c r="B178" t="s">
        <v>30</v>
      </c>
      <c r="C178" t="s">
        <v>18</v>
      </c>
      <c r="E178">
        <v>332.5050223159061</v>
      </c>
      <c r="G178" s="4">
        <f t="shared" si="12"/>
        <v>2671.9717060387379</v>
      </c>
      <c r="H178" s="4">
        <f t="shared" si="11"/>
        <v>684.02475674591687</v>
      </c>
      <c r="I178" s="4"/>
      <c r="J178" s="4" cm="1">
        <f t="array" ref="J178">IF(C178="EXIT",0.083*_xlfn.XLOOKUP(1,(B$2:B177=B178)*(C$2:C177="ENTRY"),M$2:M177,,0,-1),"")</f>
        <v>803.58837512539969</v>
      </c>
      <c r="K178" s="4"/>
      <c r="L178" s="4"/>
      <c r="M178" s="4">
        <f t="shared" si="13"/>
        <v>14038.384745470308</v>
      </c>
      <c r="N178" s="4">
        <f t="shared" si="14"/>
        <v>40.383847454703073</v>
      </c>
    </row>
    <row r="179" spans="1:14" x14ac:dyDescent="0.25">
      <c r="A179" s="3">
        <v>45688</v>
      </c>
      <c r="B179" t="s">
        <v>25</v>
      </c>
      <c r="C179" t="s">
        <v>18</v>
      </c>
      <c r="D179">
        <v>0.78269200000000005</v>
      </c>
      <c r="E179">
        <v>-4.6184708926730211</v>
      </c>
      <c r="G179" s="4">
        <f t="shared" si="12"/>
        <v>-43.248056558480968</v>
      </c>
      <c r="H179" s="4">
        <f t="shared" si="11"/>
        <v>-11.071502478971128</v>
      </c>
      <c r="I179" s="4"/>
      <c r="J179" s="4" cm="1">
        <f t="array" ref="J179">IF(C179="EXIT",0.083*_xlfn.XLOOKUP(1,(B$2:B178=B179)*(C$2:C178="ENTRY"),M$2:M178,,0,-1),"")</f>
        <v>936.41505085789106</v>
      </c>
      <c r="K179" s="4"/>
      <c r="L179" s="4"/>
      <c r="M179" s="4">
        <f t="shared" si="13"/>
        <v>14006.208191390799</v>
      </c>
      <c r="N179" s="4">
        <f t="shared" si="14"/>
        <v>40.062081913908003</v>
      </c>
    </row>
    <row r="180" spans="1:14" x14ac:dyDescent="0.25">
      <c r="A180" s="3">
        <v>45688</v>
      </c>
      <c r="B180" t="s">
        <v>70</v>
      </c>
      <c r="C180" t="s">
        <v>6</v>
      </c>
      <c r="D180">
        <v>0.98461500000000002</v>
      </c>
      <c r="G180" s="4" t="str">
        <f t="shared" si="12"/>
        <v/>
      </c>
      <c r="H180" s="4" t="str">
        <f t="shared" si="11"/>
        <v/>
      </c>
      <c r="I180" s="4"/>
      <c r="J180" s="4" t="str" cm="1">
        <f t="array" ref="J180">IF(C180="EXIT",0.083*_xlfn.XLOOKUP(1,(B$2:B179=B180)*(C$2:C179="ENTRY"),M$2:M179,,0,-1),"")</f>
        <v/>
      </c>
      <c r="K180" s="4"/>
      <c r="L180" s="4"/>
      <c r="M180" s="4">
        <f t="shared" si="13"/>
        <v>14006.208191390799</v>
      </c>
      <c r="N180" s="4">
        <f t="shared" si="14"/>
        <v>40.062081913908003</v>
      </c>
    </row>
    <row r="181" spans="1:14" x14ac:dyDescent="0.25">
      <c r="A181" s="3">
        <v>45688</v>
      </c>
      <c r="B181" t="s">
        <v>71</v>
      </c>
      <c r="C181" t="s">
        <v>6</v>
      </c>
      <c r="D181">
        <v>0.95663500000000001</v>
      </c>
      <c r="G181" s="4" t="str">
        <f t="shared" si="12"/>
        <v/>
      </c>
      <c r="H181" s="4" t="str">
        <f t="shared" si="11"/>
        <v/>
      </c>
      <c r="I181" s="4"/>
      <c r="J181" s="4" t="str" cm="1">
        <f t="array" ref="J181">IF(C181="EXIT",0.083*_xlfn.XLOOKUP(1,(B$2:B180=B181)*(C$2:C180="ENTRY"),M$2:M180,,0,-1),"")</f>
        <v/>
      </c>
      <c r="K181" s="4"/>
      <c r="L181" s="4"/>
      <c r="M181" s="4">
        <f t="shared" si="13"/>
        <v>14006.208191390799</v>
      </c>
      <c r="N181" s="4">
        <f t="shared" si="14"/>
        <v>40.062081913908003</v>
      </c>
    </row>
    <row r="182" spans="1:14" x14ac:dyDescent="0.25">
      <c r="A182" s="3">
        <v>45702</v>
      </c>
      <c r="B182" t="s">
        <v>39</v>
      </c>
      <c r="C182" t="s">
        <v>18</v>
      </c>
      <c r="E182">
        <v>-32.746034046340419</v>
      </c>
      <c r="G182" s="4">
        <f t="shared" si="12"/>
        <v>-312.49534062104789</v>
      </c>
      <c r="H182" s="4">
        <f t="shared" si="11"/>
        <v>-79.99880719898826</v>
      </c>
      <c r="I182" s="4"/>
      <c r="J182" s="4" cm="1">
        <f t="array" ref="J182">IF(C182="EXIT",0.083*_xlfn.XLOOKUP(1,(B$2:B181=B182)*(C$2:C181="ENTRY"),M$2:M181,,0,-1),"")</f>
        <v>954.29980979932213</v>
      </c>
      <c r="K182" s="4"/>
      <c r="L182" s="4"/>
      <c r="M182" s="4">
        <f t="shared" si="13"/>
        <v>13773.711657968739</v>
      </c>
      <c r="N182" s="4">
        <f t="shared" si="14"/>
        <v>37.737116579687381</v>
      </c>
    </row>
    <row r="183" spans="1:14" x14ac:dyDescent="0.25">
      <c r="A183" s="3">
        <v>45702</v>
      </c>
      <c r="B183" t="s">
        <v>66</v>
      </c>
      <c r="C183" t="s">
        <v>6</v>
      </c>
      <c r="D183">
        <v>0.91076900000000005</v>
      </c>
      <c r="G183" s="4" t="str">
        <f t="shared" si="12"/>
        <v/>
      </c>
      <c r="H183" s="4" t="str">
        <f t="shared" si="11"/>
        <v/>
      </c>
      <c r="I183" s="4"/>
      <c r="J183" s="4" t="str" cm="1">
        <f t="array" ref="J183">IF(C183="EXIT",0.083*_xlfn.XLOOKUP(1,(B$2:B182=B183)*(C$2:C182="ENTRY"),M$2:M182,,0,-1),"")</f>
        <v/>
      </c>
      <c r="K183" s="4"/>
      <c r="L183" s="4"/>
      <c r="M183" s="4">
        <f t="shared" si="13"/>
        <v>13773.711657968739</v>
      </c>
      <c r="N183" s="4">
        <f t="shared" si="14"/>
        <v>37.737116579687381</v>
      </c>
    </row>
    <row r="184" spans="1:14" x14ac:dyDescent="0.25">
      <c r="A184" s="3">
        <v>45716</v>
      </c>
      <c r="B184" t="s">
        <v>43</v>
      </c>
      <c r="C184" t="s">
        <v>18</v>
      </c>
      <c r="D184">
        <v>0.76192300000000002</v>
      </c>
      <c r="E184">
        <v>-17.905239658589739</v>
      </c>
      <c r="G184" s="4">
        <f t="shared" si="12"/>
        <v>-179.0857606871333</v>
      </c>
      <c r="H184" s="4">
        <f t="shared" si="11"/>
        <v>-45.845954735906126</v>
      </c>
      <c r="I184" s="4"/>
      <c r="J184" s="4" cm="1">
        <f t="array" ref="J184">IF(C184="EXIT",0.083*_xlfn.XLOOKUP(1,(B$2:B183=B184)*(C$2:C183="ENTRY"),M$2:M183,,0,-1),"")</f>
        <v>1000.1863370827316</v>
      </c>
      <c r="K184" s="4"/>
      <c r="L184" s="4"/>
      <c r="M184" s="4">
        <f t="shared" si="13"/>
        <v>13640.47185201751</v>
      </c>
      <c r="N184" s="4">
        <f t="shared" si="14"/>
        <v>36.404718520175095</v>
      </c>
    </row>
    <row r="185" spans="1:14" x14ac:dyDescent="0.25">
      <c r="A185" s="3">
        <v>45716</v>
      </c>
      <c r="B185" t="s">
        <v>7</v>
      </c>
      <c r="C185" t="s">
        <v>6</v>
      </c>
      <c r="D185">
        <v>0.96557700000000002</v>
      </c>
      <c r="G185" s="4" t="str">
        <f t="shared" si="12"/>
        <v/>
      </c>
      <c r="H185" s="4" t="str">
        <f t="shared" si="11"/>
        <v/>
      </c>
      <c r="I185" s="4"/>
      <c r="J185" s="4" t="str" cm="1">
        <f t="array" ref="J185">IF(C185="EXIT",0.083*_xlfn.XLOOKUP(1,(B$2:B184=B185)*(C$2:C184="ENTRY"),M$2:M184,,0,-1),"")</f>
        <v/>
      </c>
      <c r="K185" s="4"/>
      <c r="L185" s="4"/>
      <c r="M185" s="4">
        <f t="shared" si="13"/>
        <v>13640.47185201751</v>
      </c>
      <c r="N185" s="4">
        <f t="shared" si="14"/>
        <v>36.404718520175095</v>
      </c>
    </row>
    <row r="186" spans="1:14" x14ac:dyDescent="0.25">
      <c r="A186" s="3">
        <v>45723</v>
      </c>
      <c r="B186" t="s">
        <v>72</v>
      </c>
      <c r="C186" t="s">
        <v>6</v>
      </c>
      <c r="D186">
        <v>0.88605800000000001</v>
      </c>
      <c r="G186" s="4" t="str">
        <f t="shared" si="12"/>
        <v/>
      </c>
      <c r="H186" s="4" t="str">
        <f t="shared" si="11"/>
        <v/>
      </c>
      <c r="I186" s="4"/>
      <c r="J186" s="4" t="str" cm="1">
        <f t="array" ref="J186">IF(C186="EXIT",0.083*_xlfn.XLOOKUP(1,(B$2:B185=B186)*(C$2:C185="ENTRY"),M$2:M185,,0,-1),"")</f>
        <v/>
      </c>
      <c r="K186" s="4"/>
      <c r="L186" s="4"/>
      <c r="M186" s="4">
        <f t="shared" si="13"/>
        <v>13640.47185201751</v>
      </c>
      <c r="N186" s="4">
        <f t="shared" si="14"/>
        <v>36.404718520175095</v>
      </c>
    </row>
    <row r="187" spans="1:14" x14ac:dyDescent="0.25">
      <c r="A187" s="3">
        <v>45723</v>
      </c>
      <c r="B187" t="s">
        <v>73</v>
      </c>
      <c r="C187" t="s">
        <v>6</v>
      </c>
      <c r="D187">
        <v>0.89586500000000002</v>
      </c>
      <c r="G187" s="4" t="str">
        <f t="shared" si="12"/>
        <v/>
      </c>
      <c r="H187" s="4" t="str">
        <f t="shared" si="11"/>
        <v/>
      </c>
      <c r="I187" s="4"/>
      <c r="J187" s="4" t="str" cm="1">
        <f t="array" ref="J187">IF(C187="EXIT",0.083*_xlfn.XLOOKUP(1,(B$2:B186=B187)*(C$2:C186="ENTRY"),M$2:M186,,0,-1),"")</f>
        <v/>
      </c>
      <c r="K187" s="4"/>
      <c r="L187" s="4"/>
      <c r="M187" s="4">
        <f t="shared" si="13"/>
        <v>13640.47185201751</v>
      </c>
      <c r="N187" s="4">
        <f t="shared" si="14"/>
        <v>36.404718520175095</v>
      </c>
    </row>
    <row r="188" spans="1:14" x14ac:dyDescent="0.25">
      <c r="A188" s="3">
        <v>45723</v>
      </c>
      <c r="B188" t="s">
        <v>67</v>
      </c>
      <c r="C188" t="s">
        <v>6</v>
      </c>
      <c r="D188">
        <v>0.874135</v>
      </c>
      <c r="G188" s="4" t="str">
        <f t="shared" si="12"/>
        <v/>
      </c>
      <c r="H188" s="4" t="str">
        <f t="shared" si="11"/>
        <v/>
      </c>
      <c r="I188" s="4"/>
      <c r="J188" s="4" t="str" cm="1">
        <f t="array" ref="J188">IF(C188="EXIT",0.083*_xlfn.XLOOKUP(1,(B$2:B187=B188)*(C$2:C187="ENTRY"),M$2:M187,,0,-1),"")</f>
        <v/>
      </c>
      <c r="K188" s="4"/>
      <c r="L188" s="4"/>
      <c r="M188" s="4">
        <f t="shared" si="13"/>
        <v>13640.47185201751</v>
      </c>
      <c r="N188" s="4">
        <f t="shared" si="14"/>
        <v>36.404718520175095</v>
      </c>
    </row>
    <row r="189" spans="1:14" x14ac:dyDescent="0.25">
      <c r="A189" s="3">
        <v>45723</v>
      </c>
      <c r="B189" t="s">
        <v>32</v>
      </c>
      <c r="C189" t="s">
        <v>18</v>
      </c>
      <c r="D189">
        <v>0.74019199999999996</v>
      </c>
      <c r="E189">
        <v>6.1385968450023531</v>
      </c>
      <c r="G189" s="4">
        <f t="shared" si="12"/>
        <v>58.440754151923088</v>
      </c>
      <c r="H189" s="4">
        <f t="shared" si="11"/>
        <v>14.960833062892311</v>
      </c>
      <c r="I189" s="4"/>
      <c r="J189" s="4" cm="1">
        <f t="array" ref="J189">IF(C189="EXIT",0.083*_xlfn.XLOOKUP(1,(B$2:B188=B189)*(C$2:C188="ENTRY"),M$2:M188,,0,-1),"")</f>
        <v>952.02137601692732</v>
      </c>
      <c r="K189" s="4"/>
      <c r="L189" s="4"/>
      <c r="M189" s="4">
        <f t="shared" si="13"/>
        <v>13683.951773106541</v>
      </c>
      <c r="N189" s="4">
        <f t="shared" si="14"/>
        <v>36.839517731065399</v>
      </c>
    </row>
    <row r="190" spans="1:14" x14ac:dyDescent="0.25">
      <c r="A190" s="3">
        <v>45723</v>
      </c>
      <c r="B190" t="s">
        <v>65</v>
      </c>
      <c r="C190" t="s">
        <v>18</v>
      </c>
      <c r="E190">
        <v>15.23803106423782</v>
      </c>
      <c r="G190" s="4">
        <f t="shared" si="12"/>
        <v>145.00983003818234</v>
      </c>
      <c r="H190" s="4">
        <f t="shared" si="11"/>
        <v>37.122516489774682</v>
      </c>
      <c r="I190" s="4"/>
      <c r="J190" s="4" cm="1">
        <f t="array" ref="J190">IF(C190="EXIT",0.083*_xlfn.XLOOKUP(1,(B$2:B189=B190)*(C$2:C189="ENTRY"),M$2:M189,,0,-1),"")</f>
        <v>951.63101733337669</v>
      </c>
      <c r="K190" s="4"/>
      <c r="L190" s="4"/>
      <c r="M190" s="4">
        <f t="shared" si="13"/>
        <v>13791.839086654947</v>
      </c>
      <c r="N190" s="4">
        <f t="shared" si="14"/>
        <v>37.918390866549487</v>
      </c>
    </row>
    <row r="191" spans="1:14" x14ac:dyDescent="0.25">
      <c r="A191" s="3">
        <v>45723</v>
      </c>
      <c r="B191" t="s">
        <v>71</v>
      </c>
      <c r="C191" t="s">
        <v>18</v>
      </c>
      <c r="D191">
        <v>0.69605799999999995</v>
      </c>
      <c r="E191">
        <v>-35.079088120297477</v>
      </c>
      <c r="G191" s="4">
        <f t="shared" si="12"/>
        <v>-407.799759442935</v>
      </c>
      <c r="H191" s="4">
        <f t="shared" si="11"/>
        <v>-104.39673841739136</v>
      </c>
      <c r="I191" s="4"/>
      <c r="J191" s="4" cm="1">
        <f t="array" ref="J191">IF(C191="EXIT",0.083*_xlfn.XLOOKUP(1,(B$2:B190=B191)*(C$2:C190="ENTRY"),M$2:M190,,0,-1),"")</f>
        <v>1162.5152798854363</v>
      </c>
      <c r="K191" s="4"/>
      <c r="L191" s="4"/>
      <c r="M191" s="4">
        <f t="shared" si="13"/>
        <v>13488.436065629405</v>
      </c>
      <c r="N191" s="4">
        <f t="shared" si="14"/>
        <v>34.884360656294064</v>
      </c>
    </row>
    <row r="192" spans="1:14" x14ac:dyDescent="0.25">
      <c r="A192" s="3">
        <v>45744</v>
      </c>
      <c r="B192" t="s">
        <v>36</v>
      </c>
      <c r="C192" t="s">
        <v>18</v>
      </c>
      <c r="D192">
        <v>0.72653800000000002</v>
      </c>
      <c r="E192">
        <v>-16.366780638998758</v>
      </c>
      <c r="G192" s="4">
        <f t="shared" si="12"/>
        <v>-161.47579302342564</v>
      </c>
      <c r="H192" s="4">
        <f t="shared" si="11"/>
        <v>-41.337803013996961</v>
      </c>
      <c r="I192" s="4"/>
      <c r="J192" s="4" cm="1">
        <f t="array" ref="J192">IF(C192="EXIT",0.083*_xlfn.XLOOKUP(1,(B$2:B191=B192)*(C$2:C191="ENTRY"),M$2:M191,,0,-1),"")</f>
        <v>986.60693623925761</v>
      </c>
      <c r="K192" s="4"/>
      <c r="L192" s="4"/>
      <c r="M192" s="4">
        <f t="shared" si="13"/>
        <v>13368.298075619976</v>
      </c>
      <c r="N192" s="4">
        <f t="shared" si="14"/>
        <v>33.682980756199754</v>
      </c>
    </row>
    <row r="193" spans="1:14" x14ac:dyDescent="0.25">
      <c r="A193" s="3">
        <v>45744</v>
      </c>
      <c r="B193" t="s">
        <v>74</v>
      </c>
      <c r="C193" t="s">
        <v>6</v>
      </c>
      <c r="D193">
        <v>0.94067299999999998</v>
      </c>
      <c r="G193" s="4" t="str">
        <f t="shared" si="12"/>
        <v/>
      </c>
      <c r="H193" s="4" t="str">
        <f t="shared" si="11"/>
        <v/>
      </c>
      <c r="I193" s="4"/>
      <c r="J193" s="4" t="str" cm="1">
        <f t="array" ref="J193">IF(C193="EXIT",0.083*_xlfn.XLOOKUP(1,(B$2:B192=B193)*(C$2:C192="ENTRY"),M$2:M192,,0,-1),"")</f>
        <v/>
      </c>
      <c r="K193" s="4"/>
      <c r="L193" s="4"/>
      <c r="M193" s="4">
        <f t="shared" si="13"/>
        <v>13368.298075619976</v>
      </c>
      <c r="N193" s="4">
        <f t="shared" si="14"/>
        <v>33.682980756199754</v>
      </c>
    </row>
    <row r="194" spans="1:14" x14ac:dyDescent="0.25">
      <c r="A194" s="3">
        <v>45758</v>
      </c>
      <c r="B194" t="s">
        <v>67</v>
      </c>
      <c r="C194" t="s">
        <v>18</v>
      </c>
      <c r="D194">
        <v>0.69769199999999998</v>
      </c>
      <c r="E194">
        <v>-7.9948758302854417</v>
      </c>
      <c r="G194" s="4">
        <f t="shared" si="12"/>
        <v>-90.514719340408462</v>
      </c>
      <c r="H194" s="4">
        <f t="shared" si="11"/>
        <v>-23.171768151144565</v>
      </c>
      <c r="I194" s="4"/>
      <c r="J194" s="4" cm="1">
        <f t="array" ref="J194">IF(C194="EXIT",0.083*_xlfn.XLOOKUP(1,(B$2:B193=B194)*(C$2:C193="ENTRY"),M$2:M193,,0,-1),"")</f>
        <v>1132.1591637174533</v>
      </c>
      <c r="K194" s="4"/>
      <c r="L194" s="4"/>
      <c r="M194" s="4">
        <f t="shared" si="13"/>
        <v>13300.955124430713</v>
      </c>
      <c r="N194" s="4">
        <f t="shared" si="14"/>
        <v>33.009551244307147</v>
      </c>
    </row>
    <row r="195" spans="1:14" x14ac:dyDescent="0.25">
      <c r="A195" s="3">
        <v>45758</v>
      </c>
      <c r="B195" t="s">
        <v>75</v>
      </c>
      <c r="C195" t="s">
        <v>6</v>
      </c>
      <c r="D195">
        <v>0.91711500000000001</v>
      </c>
      <c r="G195" s="4" t="str">
        <f t="shared" si="12"/>
        <v/>
      </c>
      <c r="H195" s="4" t="str">
        <f t="shared" si="11"/>
        <v/>
      </c>
      <c r="I195" s="4"/>
      <c r="J195" s="4" t="str" cm="1">
        <f t="array" ref="J195">IF(C195="EXIT",0.083*_xlfn.XLOOKUP(1,(B$2:B194=B195)*(C$2:C194="ENTRY"),M$2:M194,,0,-1),"")</f>
        <v/>
      </c>
      <c r="K195" s="4"/>
      <c r="L195" s="4"/>
      <c r="M195" s="4">
        <f t="shared" si="13"/>
        <v>13300.955124430713</v>
      </c>
      <c r="N195" s="4">
        <f t="shared" si="14"/>
        <v>33.009551244307147</v>
      </c>
    </row>
    <row r="196" spans="1:14" x14ac:dyDescent="0.25">
      <c r="A196" s="3">
        <v>45772</v>
      </c>
      <c r="B196" t="s">
        <v>66</v>
      </c>
      <c r="C196" t="s">
        <v>18</v>
      </c>
      <c r="D196">
        <v>0.76240399999999997</v>
      </c>
      <c r="E196">
        <v>-13.76264991726276</v>
      </c>
      <c r="G196" s="4">
        <f t="shared" si="12"/>
        <v>-157.33710043625399</v>
      </c>
      <c r="H196" s="4">
        <f t="shared" si="11"/>
        <v>-40.27829771168102</v>
      </c>
      <c r="I196" s="4"/>
      <c r="J196" s="4" cm="1">
        <f t="array" ref="J196">IF(C196="EXIT",0.083*_xlfn.XLOOKUP(1,(B$2:B195=B196)*(C$2:C195="ENTRY"),M$2:M195,,0,-1),"")</f>
        <v>1143.2180676114053</v>
      </c>
      <c r="K196" s="4"/>
      <c r="L196" s="4"/>
      <c r="M196" s="4">
        <f t="shared" si="13"/>
        <v>13183.896321706139</v>
      </c>
      <c r="N196" s="4">
        <f t="shared" si="14"/>
        <v>31.838963217061405</v>
      </c>
    </row>
    <row r="197" spans="1:14" x14ac:dyDescent="0.25">
      <c r="A197" s="3">
        <v>45772</v>
      </c>
      <c r="B197" t="s">
        <v>73</v>
      </c>
      <c r="C197" t="s">
        <v>18</v>
      </c>
      <c r="E197">
        <v>-10.71532578729358</v>
      </c>
      <c r="G197" s="4">
        <f t="shared" si="12"/>
        <v>-121.31454282302361</v>
      </c>
      <c r="H197" s="4">
        <f t="shared" si="11"/>
        <v>-31.056522962694046</v>
      </c>
      <c r="I197" s="4"/>
      <c r="J197" s="4" cm="1">
        <f t="array" ref="J197">IF(C197="EXIT",0.083*_xlfn.XLOOKUP(1,(B$2:B196=B197)*(C$2:C196="ENTRY"),M$2:M196,,0,-1),"")</f>
        <v>1132.1591637174533</v>
      </c>
      <c r="K197" s="4"/>
      <c r="L197" s="4"/>
      <c r="M197" s="4">
        <f t="shared" si="13"/>
        <v>13093.638301845809</v>
      </c>
      <c r="N197" s="4">
        <f t="shared" si="14"/>
        <v>30.936383018458088</v>
      </c>
    </row>
    <row r="198" spans="1:14" x14ac:dyDescent="0.25">
      <c r="A198" s="3">
        <v>45772</v>
      </c>
      <c r="B198" t="s">
        <v>53</v>
      </c>
      <c r="C198" t="s">
        <v>6</v>
      </c>
      <c r="D198">
        <v>0.91509600000000002</v>
      </c>
      <c r="G198" s="4" t="str">
        <f t="shared" si="12"/>
        <v/>
      </c>
      <c r="H198" s="4" t="str">
        <f t="shared" si="11"/>
        <v/>
      </c>
      <c r="I198" s="4"/>
      <c r="J198" s="4" t="str" cm="1">
        <f t="array" ref="J198">IF(C198="EXIT",0.083*_xlfn.XLOOKUP(1,(B$2:B197=B198)*(C$2:C197="ENTRY"),M$2:M197,,0,-1),"")</f>
        <v/>
      </c>
      <c r="K198" s="4"/>
      <c r="L198" s="4"/>
      <c r="M198" s="4">
        <f t="shared" si="13"/>
        <v>13093.638301845809</v>
      </c>
      <c r="N198" s="4">
        <f t="shared" si="14"/>
        <v>30.936383018458088</v>
      </c>
    </row>
    <row r="199" spans="1:14" x14ac:dyDescent="0.25">
      <c r="A199" s="3">
        <v>45772</v>
      </c>
      <c r="B199" t="s">
        <v>31</v>
      </c>
      <c r="C199" t="s">
        <v>6</v>
      </c>
      <c r="D199">
        <v>0.89221200000000001</v>
      </c>
      <c r="G199" s="4" t="str">
        <f t="shared" si="12"/>
        <v/>
      </c>
      <c r="H199" s="4" t="str">
        <f t="shared" si="11"/>
        <v/>
      </c>
      <c r="I199" s="4"/>
      <c r="J199" s="4" t="str" cm="1">
        <f t="array" ref="J199">IF(C199="EXIT",0.083*_xlfn.XLOOKUP(1,(B$2:B198=B199)*(C$2:C198="ENTRY"),M$2:M198,,0,-1),"")</f>
        <v/>
      </c>
      <c r="K199" s="4"/>
      <c r="L199" s="4"/>
      <c r="M199" s="4">
        <f t="shared" si="13"/>
        <v>13093.638301845809</v>
      </c>
      <c r="N199" s="4">
        <f t="shared" si="14"/>
        <v>30.936383018458088</v>
      </c>
    </row>
    <row r="200" spans="1:14" x14ac:dyDescent="0.25">
      <c r="A200" s="3">
        <v>45800</v>
      </c>
      <c r="B200" t="s">
        <v>75</v>
      </c>
      <c r="C200" t="s">
        <v>18</v>
      </c>
      <c r="E200">
        <v>0.24439745555575601</v>
      </c>
      <c r="G200" s="4">
        <f t="shared" si="12"/>
        <v>2.6980972587638932</v>
      </c>
      <c r="H200" s="4">
        <f t="shared" si="11"/>
        <v>0.69071289824355664</v>
      </c>
      <c r="I200" s="4"/>
      <c r="J200" s="4" cm="1">
        <f t="array" ref="J200">IF(C200="EXIT",0.083*_xlfn.XLOOKUP(1,(B$2:B199=B200)*(C$2:C199="ENTRY"),M$2:M199,,0,-1),"")</f>
        <v>1103.9792753277493</v>
      </c>
      <c r="K200" s="4"/>
      <c r="L200" s="4"/>
      <c r="M200" s="4">
        <f t="shared" si="13"/>
        <v>13095.64568620633</v>
      </c>
      <c r="N200" s="4">
        <f t="shared" si="14"/>
        <v>30.956456862063305</v>
      </c>
    </row>
    <row r="201" spans="1:14" x14ac:dyDescent="0.25">
      <c r="A201" s="3">
        <v>45800</v>
      </c>
      <c r="B201" t="s">
        <v>37</v>
      </c>
      <c r="C201" t="s">
        <v>6</v>
      </c>
      <c r="D201">
        <v>0.91749999999999998</v>
      </c>
      <c r="G201" s="4" t="str">
        <f t="shared" si="12"/>
        <v/>
      </c>
      <c r="H201" s="4" t="str">
        <f t="shared" si="11"/>
        <v/>
      </c>
      <c r="I201" s="4"/>
      <c r="J201" s="4" t="str" cm="1">
        <f t="array" ref="J201">IF(C201="EXIT",0.083*_xlfn.XLOOKUP(1,(B$2:B200=B201)*(C$2:C200="ENTRY"),M$2:M200,,0,-1),"")</f>
        <v/>
      </c>
      <c r="K201" s="4"/>
      <c r="L201" s="4"/>
      <c r="M201" s="4">
        <f t="shared" si="13"/>
        <v>13095.64568620633</v>
      </c>
      <c r="N201" s="4">
        <f t="shared" si="14"/>
        <v>30.956456862063305</v>
      </c>
    </row>
    <row r="202" spans="1:14" x14ac:dyDescent="0.25">
      <c r="A202" s="3">
        <v>45821</v>
      </c>
      <c r="B202" t="s">
        <v>55</v>
      </c>
      <c r="C202" t="s">
        <v>6</v>
      </c>
      <c r="D202">
        <v>0.95163500000000001</v>
      </c>
      <c r="G202" s="4" t="str">
        <f t="shared" si="12"/>
        <v/>
      </c>
      <c r="H202" s="4" t="str">
        <f t="shared" si="11"/>
        <v/>
      </c>
      <c r="I202" s="4"/>
      <c r="J202" s="4" t="str" cm="1">
        <f t="array" ref="J202">IF(C202="EXIT",0.083*_xlfn.XLOOKUP(1,(B$2:B201=B202)*(C$2:C201="ENTRY"),M$2:M201,,0,-1),"")</f>
        <v/>
      </c>
      <c r="K202" s="4"/>
      <c r="L202" s="4"/>
      <c r="M202" s="4">
        <f t="shared" si="13"/>
        <v>13095.64568620633</v>
      </c>
      <c r="N202" s="4">
        <f t="shared" si="14"/>
        <v>30.956456862063305</v>
      </c>
    </row>
    <row r="203" spans="1:14" x14ac:dyDescent="0.25">
      <c r="A203" s="3">
        <v>45821</v>
      </c>
      <c r="B203" t="s">
        <v>42</v>
      </c>
      <c r="C203" t="s">
        <v>18</v>
      </c>
      <c r="D203">
        <v>0.75192300000000001</v>
      </c>
      <c r="E203">
        <v>7.0382219719766326</v>
      </c>
      <c r="G203" s="4">
        <f t="shared" si="12"/>
        <v>65.906969858376243</v>
      </c>
      <c r="H203" s="4">
        <f t="shared" si="11"/>
        <v>16.872184283744318</v>
      </c>
      <c r="I203" s="4"/>
      <c r="J203" s="4" cm="1">
        <f t="array" ref="J203">IF(C203="EXIT",0.083*_xlfn.XLOOKUP(1,(B$2:B202=B203)*(C$2:C202="ENTRY"),M$2:M202,,0,-1),"")</f>
        <v>936.41505085789106</v>
      </c>
      <c r="K203" s="4"/>
      <c r="L203" s="4"/>
      <c r="M203" s="4">
        <f t="shared" si="13"/>
        <v>13144.680471780963</v>
      </c>
      <c r="N203" s="4">
        <f t="shared" si="14"/>
        <v>31.446804717809641</v>
      </c>
    </row>
    <row r="204" spans="1:14" x14ac:dyDescent="0.25">
      <c r="A204" s="3">
        <v>45828</v>
      </c>
      <c r="B204" t="s">
        <v>44</v>
      </c>
      <c r="C204" t="s">
        <v>18</v>
      </c>
      <c r="E204">
        <v>-4.7772598885225452</v>
      </c>
      <c r="G204" s="4">
        <f t="shared" si="12"/>
        <v>-47.132777422339259</v>
      </c>
      <c r="H204" s="4">
        <f t="shared" si="11"/>
        <v>-12.065991020118851</v>
      </c>
      <c r="I204" s="4"/>
      <c r="J204" s="4" cm="1">
        <f t="array" ref="J204">IF(C204="EXIT",0.083*_xlfn.XLOOKUP(1,(B$2:B203=B204)*(C$2:C203="ENTRY"),M$2:M203,,0,-1),"")</f>
        <v>986.60693623925761</v>
      </c>
      <c r="K204" s="4"/>
      <c r="L204" s="4"/>
      <c r="M204" s="4">
        <f t="shared" si="13"/>
        <v>13109.613685378743</v>
      </c>
      <c r="N204" s="4">
        <f t="shared" si="14"/>
        <v>31.096136853787442</v>
      </c>
    </row>
    <row r="205" spans="1:14" x14ac:dyDescent="0.25">
      <c r="A205" s="3">
        <v>45828</v>
      </c>
      <c r="B205" t="s">
        <v>67</v>
      </c>
      <c r="C205" t="s">
        <v>6</v>
      </c>
      <c r="D205">
        <v>0.90086500000000003</v>
      </c>
      <c r="G205" s="4" t="str">
        <f t="shared" si="12"/>
        <v/>
      </c>
      <c r="H205" s="4" t="str">
        <f t="shared" si="11"/>
        <v/>
      </c>
      <c r="I205" s="4"/>
      <c r="J205" s="4" t="str" cm="1">
        <f t="array" ref="J205">IF(C205="EXIT",0.083*_xlfn.XLOOKUP(1,(B$2:B204=B205)*(C$2:C204="ENTRY"),M$2:M204,,0,-1),"")</f>
        <v/>
      </c>
      <c r="K205" s="4"/>
      <c r="L205" s="4"/>
      <c r="M205" s="4">
        <f t="shared" si="13"/>
        <v>13109.613685378743</v>
      </c>
      <c r="N205" s="4">
        <f t="shared" si="14"/>
        <v>31.096136853787442</v>
      </c>
    </row>
    <row r="206" spans="1:14" x14ac:dyDescent="0.25">
      <c r="A206" s="3">
        <v>45870</v>
      </c>
      <c r="B206" t="s">
        <v>72</v>
      </c>
      <c r="C206" t="s">
        <v>18</v>
      </c>
      <c r="D206">
        <v>0.78144199999999997</v>
      </c>
      <c r="E206">
        <v>7.9528213450690064</v>
      </c>
      <c r="G206" s="4">
        <f t="shared" si="12"/>
        <v>90.038595632276383</v>
      </c>
      <c r="H206" s="4">
        <f t="shared" si="11"/>
        <v>23.049880481862754</v>
      </c>
      <c r="I206" s="4"/>
      <c r="J206" s="4" cm="1">
        <f t="array" ref="J206">IF(C206="EXIT",0.083*_xlfn.XLOOKUP(1,(B$2:B205=B206)*(C$2:C205="ENTRY"),M$2:M205,,0,-1),"")</f>
        <v>1132.1591637174533</v>
      </c>
      <c r="K206" s="4"/>
      <c r="L206" s="4"/>
      <c r="M206" s="4">
        <f t="shared" si="13"/>
        <v>13176.602400529157</v>
      </c>
      <c r="N206" s="4">
        <f t="shared" si="14"/>
        <v>31.76602400529157</v>
      </c>
    </row>
    <row r="207" spans="1:14" x14ac:dyDescent="0.25">
      <c r="A207" s="3">
        <v>45870</v>
      </c>
      <c r="B207" t="s">
        <v>74</v>
      </c>
      <c r="C207" t="s">
        <v>18</v>
      </c>
      <c r="D207">
        <v>0.77576900000000004</v>
      </c>
      <c r="E207">
        <v>6.0472154907982523</v>
      </c>
      <c r="G207" s="4">
        <f t="shared" si="12"/>
        <v>67.098012743053005</v>
      </c>
      <c r="H207" s="4">
        <f t="shared" ref="H207:H253" si="15">IFERROR(G207*0.256,"")</f>
        <v>17.17709126222157</v>
      </c>
      <c r="I207" s="4"/>
      <c r="J207" s="4" cm="1">
        <f t="array" ref="J207">IF(C207="EXIT",0.083*_xlfn.XLOOKUP(1,(B$2:B206=B207)*(C$2:C206="ENTRY"),M$2:M206,,0,-1),"")</f>
        <v>1109.5687402764581</v>
      </c>
      <c r="K207" s="4"/>
      <c r="L207" s="4"/>
      <c r="M207" s="4">
        <f t="shared" si="13"/>
        <v>13226.523322009989</v>
      </c>
      <c r="N207" s="4">
        <f t="shared" si="14"/>
        <v>32.265233220099901</v>
      </c>
    </row>
    <row r="208" spans="1:14" x14ac:dyDescent="0.25">
      <c r="A208" s="3">
        <v>45870</v>
      </c>
      <c r="B208" t="s">
        <v>30</v>
      </c>
      <c r="C208" t="s">
        <v>6</v>
      </c>
      <c r="D208">
        <v>0.88317299999999999</v>
      </c>
      <c r="G208" s="4" t="str">
        <f t="shared" si="12"/>
        <v/>
      </c>
      <c r="H208" s="4" t="str">
        <f t="shared" si="15"/>
        <v/>
      </c>
      <c r="I208" s="4"/>
      <c r="J208" s="4" t="str" cm="1">
        <f t="array" ref="J208">IF(C208="EXIT",0.083*_xlfn.XLOOKUP(1,(B$2:B207=B208)*(C$2:C207="ENTRY"),M$2:M207,,0,-1),"")</f>
        <v/>
      </c>
      <c r="K208" s="4"/>
      <c r="L208" s="4"/>
      <c r="M208" s="4">
        <f t="shared" si="13"/>
        <v>13226.523322009989</v>
      </c>
      <c r="N208" s="4">
        <f t="shared" si="14"/>
        <v>32.265233220099901</v>
      </c>
    </row>
    <row r="209" spans="1:14" x14ac:dyDescent="0.25">
      <c r="A209" s="3">
        <v>45870</v>
      </c>
      <c r="B209" t="s">
        <v>76</v>
      </c>
      <c r="C209" t="s">
        <v>6</v>
      </c>
      <c r="D209">
        <v>0.879135</v>
      </c>
      <c r="G209" s="4" t="str">
        <f t="shared" si="12"/>
        <v/>
      </c>
      <c r="H209" s="4" t="str">
        <f t="shared" si="15"/>
        <v/>
      </c>
      <c r="I209" s="4"/>
      <c r="J209" s="4" t="str" cm="1">
        <f t="array" ref="J209">IF(C209="EXIT",0.083*_xlfn.XLOOKUP(1,(B$2:B208=B209)*(C$2:C208="ENTRY"),M$2:M208,,0,-1),"")</f>
        <v/>
      </c>
      <c r="K209" s="4"/>
      <c r="L209" s="4"/>
      <c r="M209" s="4">
        <f t="shared" si="13"/>
        <v>13226.523322009989</v>
      </c>
      <c r="N209" s="4">
        <f t="shared" si="14"/>
        <v>32.265233220099901</v>
      </c>
    </row>
    <row r="210" spans="1:14" x14ac:dyDescent="0.25">
      <c r="A210" s="3">
        <v>45877</v>
      </c>
      <c r="B210" t="s">
        <v>53</v>
      </c>
      <c r="C210" t="s">
        <v>18</v>
      </c>
      <c r="E210">
        <v>-9.1794069844508552E-2</v>
      </c>
      <c r="G210" s="4">
        <f t="shared" si="12"/>
        <v>-0.99759222950264426</v>
      </c>
      <c r="H210" s="4">
        <f t="shared" si="15"/>
        <v>-0.25538361075267696</v>
      </c>
      <c r="I210" s="4"/>
      <c r="J210" s="4" cm="1">
        <f t="array" ref="J210">IF(C210="EXIT",0.083*_xlfn.XLOOKUP(1,(B$2:B209=B210)*(C$2:C209="ENTRY"),M$2:M209,,0,-1),"")</f>
        <v>1086.7719790532021</v>
      </c>
      <c r="K210" s="4"/>
      <c r="L210" s="4"/>
      <c r="M210" s="4">
        <f t="shared" si="13"/>
        <v>13225.781113391238</v>
      </c>
      <c r="N210" s="4">
        <f t="shared" si="14"/>
        <v>32.257811133912384</v>
      </c>
    </row>
    <row r="211" spans="1:14" x14ac:dyDescent="0.25">
      <c r="A211" s="3">
        <v>45877</v>
      </c>
      <c r="B211" t="s">
        <v>31</v>
      </c>
      <c r="C211" t="s">
        <v>18</v>
      </c>
      <c r="E211">
        <v>5.7438662940620722</v>
      </c>
      <c r="G211" s="4">
        <f t="shared" ref="G211:G253" si="16">IF(C211="EXIT",J211/100*E211,"")</f>
        <v>62.422729398148199</v>
      </c>
      <c r="H211" s="4">
        <f t="shared" si="15"/>
        <v>15.980218725925939</v>
      </c>
      <c r="I211" s="4"/>
      <c r="J211" s="4" cm="1">
        <f t="array" ref="J211">IF(C211="EXIT",0.083*_xlfn.XLOOKUP(1,(B$2:B210=B211)*(C$2:C210="ENTRY"),M$2:M210,,0,-1),"")</f>
        <v>1086.7719790532021</v>
      </c>
      <c r="K211" s="4"/>
      <c r="L211" s="4"/>
      <c r="M211" s="4">
        <f t="shared" ref="M211:M253" si="17">IFERROR(M210+G211-H211,M210)</f>
        <v>13272.223624063459</v>
      </c>
      <c r="N211" s="4">
        <f t="shared" ref="N211:N253" si="18">100/M$1*M211-100</f>
        <v>32.722236240634601</v>
      </c>
    </row>
    <row r="212" spans="1:14" x14ac:dyDescent="0.25">
      <c r="A212" s="3">
        <v>45877</v>
      </c>
      <c r="B212" t="s">
        <v>36</v>
      </c>
      <c r="C212" t="s">
        <v>6</v>
      </c>
      <c r="D212">
        <v>0.93528800000000001</v>
      </c>
      <c r="G212" s="4" t="str">
        <f t="shared" si="16"/>
        <v/>
      </c>
      <c r="H212" s="4" t="str">
        <f t="shared" si="15"/>
        <v/>
      </c>
      <c r="I212" s="4"/>
      <c r="J212" s="4" t="str" cm="1">
        <f t="array" ref="J212">IF(C212="EXIT",0.083*_xlfn.XLOOKUP(1,(B$2:B211=B212)*(C$2:C211="ENTRY"),M$2:M211,,0,-1),"")</f>
        <v/>
      </c>
      <c r="K212" s="4"/>
      <c r="L212" s="4"/>
      <c r="M212" s="4">
        <f t="shared" si="17"/>
        <v>13272.223624063459</v>
      </c>
      <c r="N212" s="4">
        <f t="shared" si="18"/>
        <v>32.722236240634601</v>
      </c>
    </row>
    <row r="213" spans="1:14" x14ac:dyDescent="0.25">
      <c r="A213" s="3">
        <v>45877</v>
      </c>
      <c r="B213" t="s">
        <v>44</v>
      </c>
      <c r="C213" t="s">
        <v>6</v>
      </c>
      <c r="D213">
        <v>0.92884599999999995</v>
      </c>
      <c r="G213" s="4" t="str">
        <f t="shared" si="16"/>
        <v/>
      </c>
      <c r="H213" s="4" t="str">
        <f t="shared" si="15"/>
        <v/>
      </c>
      <c r="I213" s="4"/>
      <c r="J213" s="4" t="str" cm="1">
        <f t="array" ref="J213">IF(C213="EXIT",0.083*_xlfn.XLOOKUP(1,(B$2:B212=B213)*(C$2:C212="ENTRY"),M$2:M212,,0,-1),"")</f>
        <v/>
      </c>
      <c r="K213" s="4"/>
      <c r="L213" s="4"/>
      <c r="M213" s="4">
        <f t="shared" si="17"/>
        <v>13272.223624063459</v>
      </c>
      <c r="N213" s="4">
        <f t="shared" si="18"/>
        <v>32.722236240634601</v>
      </c>
    </row>
    <row r="214" spans="1:14" x14ac:dyDescent="0.25">
      <c r="A214" s="3">
        <v>45884</v>
      </c>
      <c r="B214" t="s">
        <v>22</v>
      </c>
      <c r="C214" t="s">
        <v>6</v>
      </c>
      <c r="D214">
        <v>0.88557699999999995</v>
      </c>
      <c r="G214" s="4" t="str">
        <f t="shared" si="16"/>
        <v/>
      </c>
      <c r="H214" s="4" t="str">
        <f t="shared" si="15"/>
        <v/>
      </c>
      <c r="I214" s="4"/>
      <c r="J214" s="4" t="str" cm="1">
        <f t="array" ref="J214">IF(C214="EXIT",0.083*_xlfn.XLOOKUP(1,(B$2:B213=B214)*(C$2:C213="ENTRY"),M$2:M213,,0,-1),"")</f>
        <v/>
      </c>
      <c r="K214" s="4"/>
      <c r="L214" s="4"/>
      <c r="M214" s="4">
        <f t="shared" si="17"/>
        <v>13272.223624063459</v>
      </c>
      <c r="N214" s="4">
        <f t="shared" si="18"/>
        <v>32.722236240634601</v>
      </c>
    </row>
    <row r="215" spans="1:14" x14ac:dyDescent="0.25">
      <c r="A215" s="3">
        <v>45884</v>
      </c>
      <c r="B215" t="s">
        <v>76</v>
      </c>
      <c r="C215" t="s">
        <v>18</v>
      </c>
      <c r="E215">
        <v>-6.7543968752666768</v>
      </c>
      <c r="G215" s="4">
        <f t="shared" si="16"/>
        <v>-74.149865871365662</v>
      </c>
      <c r="H215" s="4">
        <f t="shared" si="15"/>
        <v>-18.982365663069611</v>
      </c>
      <c r="I215" s="4"/>
      <c r="J215" s="4" cm="1">
        <f t="array" ref="J215">IF(C215="EXIT",0.083*_xlfn.XLOOKUP(1,(B$2:B214=B215)*(C$2:C214="ENTRY"),M$2:M214,,0,-1),"")</f>
        <v>1097.8014357268291</v>
      </c>
      <c r="K215" s="4"/>
      <c r="L215" s="4"/>
      <c r="M215" s="4">
        <f t="shared" si="17"/>
        <v>13217.056123855162</v>
      </c>
      <c r="N215" s="4">
        <f t="shared" si="18"/>
        <v>32.170561238551613</v>
      </c>
    </row>
    <row r="216" spans="1:14" x14ac:dyDescent="0.25">
      <c r="A216" s="3">
        <v>45884</v>
      </c>
      <c r="B216" t="s">
        <v>44</v>
      </c>
      <c r="C216" t="s">
        <v>18</v>
      </c>
      <c r="E216">
        <v>-3.794029978008306</v>
      </c>
      <c r="G216" s="4">
        <f t="shared" si="16"/>
        <v>-41.794827872757253</v>
      </c>
      <c r="H216" s="4">
        <f t="shared" si="15"/>
        <v>-10.699475935425857</v>
      </c>
      <c r="I216" s="4"/>
      <c r="J216" s="4" cm="1">
        <f t="array" ref="J216">IF(C216="EXIT",0.083*_xlfn.XLOOKUP(1,(B$2:B215=B216)*(C$2:C215="ENTRY"),M$2:M215,,0,-1),"")</f>
        <v>1101.5945607972671</v>
      </c>
      <c r="K216" s="4"/>
      <c r="L216" s="4"/>
      <c r="M216" s="4">
        <f t="shared" si="17"/>
        <v>13185.960771917829</v>
      </c>
      <c r="N216" s="4">
        <f t="shared" si="18"/>
        <v>31.859607719178285</v>
      </c>
    </row>
    <row r="217" spans="1:14" x14ac:dyDescent="0.25">
      <c r="A217" s="3">
        <v>45884</v>
      </c>
      <c r="B217" t="s">
        <v>77</v>
      </c>
      <c r="C217" t="s">
        <v>6</v>
      </c>
      <c r="D217">
        <v>0.92028799999999999</v>
      </c>
      <c r="G217" s="4" t="str">
        <f t="shared" si="16"/>
        <v/>
      </c>
      <c r="H217" s="4" t="str">
        <f t="shared" si="15"/>
        <v/>
      </c>
      <c r="I217" s="4"/>
      <c r="J217" s="4" t="str" cm="1">
        <f t="array" ref="J217">IF(C217="EXIT",0.083*_xlfn.XLOOKUP(1,(B$2:B216=B217)*(C$2:C216="ENTRY"),M$2:M216,,0,-1),"")</f>
        <v/>
      </c>
      <c r="K217" s="4"/>
      <c r="L217" s="4"/>
      <c r="M217" s="4">
        <f t="shared" si="17"/>
        <v>13185.960771917829</v>
      </c>
      <c r="N217" s="4">
        <f t="shared" si="18"/>
        <v>31.859607719178285</v>
      </c>
    </row>
    <row r="218" spans="1:14" x14ac:dyDescent="0.25">
      <c r="A218" s="3">
        <v>45898</v>
      </c>
      <c r="B218" t="s">
        <v>44</v>
      </c>
      <c r="C218" t="s">
        <v>6</v>
      </c>
      <c r="D218">
        <v>0.97461500000000001</v>
      </c>
      <c r="G218" s="4" t="str">
        <f t="shared" si="16"/>
        <v/>
      </c>
      <c r="H218" s="4" t="str">
        <f t="shared" si="15"/>
        <v/>
      </c>
      <c r="I218" s="4"/>
      <c r="J218" s="4" t="str" cm="1">
        <f t="array" ref="J218">IF(C218="EXIT",0.083*_xlfn.XLOOKUP(1,(B$2:B217=B218)*(C$2:C217="ENTRY"),M$2:M217,,0,-1),"")</f>
        <v/>
      </c>
      <c r="K218" s="4"/>
      <c r="L218" s="4"/>
      <c r="M218" s="4">
        <f t="shared" si="17"/>
        <v>13185.960771917829</v>
      </c>
      <c r="N218" s="4">
        <f t="shared" si="18"/>
        <v>31.859607719178285</v>
      </c>
    </row>
    <row r="219" spans="1:14" x14ac:dyDescent="0.25">
      <c r="A219" s="3">
        <v>45898</v>
      </c>
      <c r="B219" t="s">
        <v>34</v>
      </c>
      <c r="C219" t="s">
        <v>6</v>
      </c>
      <c r="D219">
        <v>0.86855800000000005</v>
      </c>
      <c r="G219" s="4" t="str">
        <f t="shared" si="16"/>
        <v/>
      </c>
      <c r="H219" s="4" t="str">
        <f t="shared" si="15"/>
        <v/>
      </c>
      <c r="I219" s="4"/>
      <c r="J219" s="4" t="str" cm="1">
        <f t="array" ref="J219">IF(C219="EXIT",0.083*_xlfn.XLOOKUP(1,(B$2:B218=B219)*(C$2:C218="ENTRY"),M$2:M218,,0,-1),"")</f>
        <v/>
      </c>
      <c r="K219" s="4"/>
      <c r="L219" s="4"/>
      <c r="M219" s="4">
        <f t="shared" si="17"/>
        <v>13185.960771917829</v>
      </c>
      <c r="N219" s="4">
        <f t="shared" si="18"/>
        <v>31.859607719178285</v>
      </c>
    </row>
    <row r="220" spans="1:14" x14ac:dyDescent="0.25">
      <c r="A220" s="3">
        <v>45898</v>
      </c>
      <c r="B220" t="s">
        <v>7</v>
      </c>
      <c r="C220" t="s">
        <v>18</v>
      </c>
      <c r="E220">
        <v>0.22801827554141951</v>
      </c>
      <c r="G220" s="4">
        <f t="shared" si="16"/>
        <v>2.5815298014926937</v>
      </c>
      <c r="H220" s="4">
        <f t="shared" si="15"/>
        <v>0.66087162918212961</v>
      </c>
      <c r="I220" s="4"/>
      <c r="J220" s="4" cm="1">
        <f t="array" ref="J220">IF(C220="EXIT",0.083*_xlfn.XLOOKUP(1,(B$2:B219=B220)*(C$2:C219="ENTRY"),M$2:M219,,0,-1),"")</f>
        <v>1132.1591637174533</v>
      </c>
      <c r="K220" s="4"/>
      <c r="L220" s="4"/>
      <c r="M220" s="4">
        <f t="shared" si="17"/>
        <v>13187.881430090139</v>
      </c>
      <c r="N220" s="4">
        <f t="shared" si="18"/>
        <v>31.878814300901411</v>
      </c>
    </row>
    <row r="221" spans="1:14" x14ac:dyDescent="0.25">
      <c r="A221" s="3">
        <v>45898</v>
      </c>
      <c r="B221" t="s">
        <v>22</v>
      </c>
      <c r="C221" t="s">
        <v>18</v>
      </c>
      <c r="D221">
        <v>0.76557699999999995</v>
      </c>
      <c r="E221">
        <v>-3.4498755620245962</v>
      </c>
      <c r="G221" s="4">
        <f t="shared" si="16"/>
        <v>-38.0036415455371</v>
      </c>
      <c r="H221" s="4">
        <f t="shared" si="15"/>
        <v>-9.7289322356574974</v>
      </c>
      <c r="I221" s="4"/>
      <c r="J221" s="4" cm="1">
        <f t="array" ref="J221">IF(C221="EXIT",0.083*_xlfn.XLOOKUP(1,(B$2:B220=B221)*(C$2:C220="ENTRY"),M$2:M220,,0,-1),"")</f>
        <v>1101.5945607972671</v>
      </c>
      <c r="K221" s="4"/>
      <c r="L221" s="4"/>
      <c r="M221" s="4">
        <f t="shared" si="17"/>
        <v>13159.606720780259</v>
      </c>
      <c r="N221" s="4">
        <f t="shared" si="18"/>
        <v>31.596067207802605</v>
      </c>
    </row>
    <row r="222" spans="1:14" x14ac:dyDescent="0.25">
      <c r="A222" s="3">
        <v>45919</v>
      </c>
      <c r="B222" t="s">
        <v>77</v>
      </c>
      <c r="C222" t="s">
        <v>18</v>
      </c>
      <c r="D222">
        <v>0.75682700000000003</v>
      </c>
      <c r="E222">
        <v>-2.6595682924081649</v>
      </c>
      <c r="G222" s="4">
        <f t="shared" si="16"/>
        <v>-29.107239434362359</v>
      </c>
      <c r="H222" s="4">
        <f t="shared" si="15"/>
        <v>-7.4514532951967638</v>
      </c>
      <c r="I222" s="4"/>
      <c r="J222" s="4" cm="1">
        <f t="array" ref="J222">IF(C222="EXIT",0.083*_xlfn.XLOOKUP(1,(B$2:B221=B222)*(C$2:C221="ENTRY"),M$2:M221,,0,-1),"")</f>
        <v>1094.4347440691799</v>
      </c>
      <c r="K222" s="4"/>
      <c r="L222" s="4"/>
      <c r="M222" s="4">
        <f t="shared" si="17"/>
        <v>13137.950934641092</v>
      </c>
      <c r="N222" s="4">
        <f t="shared" si="18"/>
        <v>31.379509346410913</v>
      </c>
    </row>
    <row r="223" spans="1:14" x14ac:dyDescent="0.25">
      <c r="A223" s="3">
        <v>45919</v>
      </c>
      <c r="B223" t="s">
        <v>78</v>
      </c>
      <c r="C223" t="s">
        <v>6</v>
      </c>
      <c r="D223">
        <v>0.96932700000000005</v>
      </c>
      <c r="G223" s="4" t="str">
        <f t="shared" si="16"/>
        <v/>
      </c>
      <c r="H223" s="4" t="str">
        <f t="shared" si="15"/>
        <v/>
      </c>
      <c r="I223" s="4"/>
      <c r="J223" s="4" t="str" cm="1">
        <f t="array" ref="J223">IF(C223="EXIT",0.083*_xlfn.XLOOKUP(1,(B$2:B222=B223)*(C$2:C222="ENTRY"),M$2:M222,,0,-1),"")</f>
        <v/>
      </c>
      <c r="K223" s="4"/>
      <c r="L223" s="4"/>
      <c r="M223" s="4">
        <f t="shared" si="17"/>
        <v>13137.950934641092</v>
      </c>
      <c r="N223" s="4">
        <f t="shared" si="18"/>
        <v>31.379509346410913</v>
      </c>
    </row>
    <row r="224" spans="1:14" x14ac:dyDescent="0.25">
      <c r="A224" s="3">
        <v>45933</v>
      </c>
      <c r="B224" t="s">
        <v>33</v>
      </c>
      <c r="C224" t="s">
        <v>18</v>
      </c>
      <c r="E224">
        <v>97.635209271997226</v>
      </c>
      <c r="G224" s="4">
        <f t="shared" si="16"/>
        <v>871.05076268635059</v>
      </c>
      <c r="H224" s="4">
        <f t="shared" si="15"/>
        <v>222.98899524770576</v>
      </c>
      <c r="I224" s="4"/>
      <c r="J224" s="4" cm="1">
        <f t="array" ref="J224">IF(C224="EXIT",0.083*_xlfn.XLOOKUP(1,(B$2:B223=B224)*(C$2:C223="ENTRY"),M$2:M223,,0,-1),"")</f>
        <v>892.14820061452644</v>
      </c>
      <c r="K224" s="4"/>
      <c r="L224" s="4"/>
      <c r="M224" s="4">
        <f t="shared" si="17"/>
        <v>13786.012702079737</v>
      </c>
      <c r="N224" s="4">
        <f t="shared" si="18"/>
        <v>37.860127020797364</v>
      </c>
    </row>
    <row r="225" spans="1:14" x14ac:dyDescent="0.25">
      <c r="A225" s="3">
        <v>45933</v>
      </c>
      <c r="B225" t="s">
        <v>70</v>
      </c>
      <c r="C225" t="s">
        <v>18</v>
      </c>
      <c r="D225">
        <v>0.73509599999999997</v>
      </c>
      <c r="E225">
        <v>9.7105120980500725</v>
      </c>
      <c r="G225" s="4">
        <f t="shared" si="16"/>
        <v>112.88618689495594</v>
      </c>
      <c r="H225" s="4">
        <f t="shared" si="15"/>
        <v>28.898863845108721</v>
      </c>
      <c r="I225" s="4"/>
      <c r="J225" s="4" cm="1">
        <f t="array" ref="J225">IF(C225="EXIT",0.083*_xlfn.XLOOKUP(1,(B$2:B224=B225)*(C$2:C224="ENTRY"),M$2:M224,,0,-1),"")</f>
        <v>1162.5152798854363</v>
      </c>
      <c r="K225" s="4"/>
      <c r="L225" s="4"/>
      <c r="M225" s="4">
        <f t="shared" si="17"/>
        <v>13870.000025129584</v>
      </c>
      <c r="N225" s="4">
        <f t="shared" si="18"/>
        <v>38.700000251295847</v>
      </c>
    </row>
    <row r="226" spans="1:14" x14ac:dyDescent="0.25">
      <c r="A226" s="3">
        <v>45933</v>
      </c>
      <c r="B226" t="s">
        <v>34</v>
      </c>
      <c r="C226" t="s">
        <v>18</v>
      </c>
      <c r="D226">
        <v>0.73788500000000001</v>
      </c>
      <c r="E226">
        <v>-2.4571580080330668</v>
      </c>
      <c r="G226" s="4">
        <f t="shared" si="16"/>
        <v>-26.891990956592057</v>
      </c>
      <c r="H226" s="4">
        <f t="shared" si="15"/>
        <v>-6.8843496848875665</v>
      </c>
      <c r="I226" s="4"/>
      <c r="J226" s="4" cm="1">
        <f t="array" ref="J226">IF(C226="EXIT",0.083*_xlfn.XLOOKUP(1,(B$2:B225=B226)*(C$2:C225="ENTRY"),M$2:M225,,0,-1),"")</f>
        <v>1094.4347440691799</v>
      </c>
      <c r="K226" s="4"/>
      <c r="L226" s="4"/>
      <c r="M226" s="4">
        <f t="shared" si="17"/>
        <v>13849.99238385788</v>
      </c>
      <c r="N226" s="4">
        <f t="shared" si="18"/>
        <v>38.499923838578809</v>
      </c>
    </row>
    <row r="227" spans="1:14" x14ac:dyDescent="0.25">
      <c r="A227" s="3">
        <v>45933</v>
      </c>
      <c r="B227" t="s">
        <v>61</v>
      </c>
      <c r="C227" t="s">
        <v>6</v>
      </c>
      <c r="D227">
        <v>0.96346200000000004</v>
      </c>
      <c r="G227" s="4" t="str">
        <f t="shared" si="16"/>
        <v/>
      </c>
      <c r="H227" s="4" t="str">
        <f t="shared" si="15"/>
        <v/>
      </c>
      <c r="I227" s="4"/>
      <c r="J227" s="4" t="str" cm="1">
        <f t="array" ref="J227">IF(C227="EXIT",0.083*_xlfn.XLOOKUP(1,(B$2:B226=B227)*(C$2:C226="ENTRY"),M$2:M226,,0,-1),"")</f>
        <v/>
      </c>
      <c r="K227" s="4"/>
      <c r="L227" s="4"/>
      <c r="M227" s="4">
        <f t="shared" si="17"/>
        <v>13849.99238385788</v>
      </c>
      <c r="N227" s="4">
        <f t="shared" si="18"/>
        <v>38.499923838578809</v>
      </c>
    </row>
    <row r="228" spans="1:14" x14ac:dyDescent="0.25">
      <c r="A228" s="3">
        <v>45933</v>
      </c>
      <c r="B228" t="s">
        <v>40</v>
      </c>
      <c r="C228" t="s">
        <v>6</v>
      </c>
      <c r="D228">
        <v>0.96336500000000003</v>
      </c>
      <c r="G228" s="4" t="str">
        <f t="shared" si="16"/>
        <v/>
      </c>
      <c r="H228" s="4" t="str">
        <f t="shared" si="15"/>
        <v/>
      </c>
      <c r="I228" s="4"/>
      <c r="J228" s="4" t="str" cm="1">
        <f t="array" ref="J228">IF(C228="EXIT",0.083*_xlfn.XLOOKUP(1,(B$2:B227=B228)*(C$2:C227="ENTRY"),M$2:M227,,0,-1),"")</f>
        <v/>
      </c>
      <c r="K228" s="4"/>
      <c r="L228" s="4"/>
      <c r="M228" s="4">
        <f t="shared" si="17"/>
        <v>13849.99238385788</v>
      </c>
      <c r="N228" s="4">
        <f t="shared" si="18"/>
        <v>38.499923838578809</v>
      </c>
    </row>
    <row r="229" spans="1:14" x14ac:dyDescent="0.25">
      <c r="A229" s="3">
        <v>45933</v>
      </c>
      <c r="B229" t="s">
        <v>71</v>
      </c>
      <c r="C229" t="s">
        <v>6</v>
      </c>
      <c r="D229">
        <v>0.88836499999999996</v>
      </c>
      <c r="G229" s="4" t="str">
        <f t="shared" si="16"/>
        <v/>
      </c>
      <c r="H229" s="4" t="str">
        <f t="shared" si="15"/>
        <v/>
      </c>
      <c r="I229" s="4"/>
      <c r="J229" s="4" t="str" cm="1">
        <f t="array" ref="J229">IF(C229="EXIT",0.083*_xlfn.XLOOKUP(1,(B$2:B228=B229)*(C$2:C228="ENTRY"),M$2:M228,,0,-1),"")</f>
        <v/>
      </c>
      <c r="K229" s="4"/>
      <c r="L229" s="4"/>
      <c r="M229" s="4">
        <f t="shared" si="17"/>
        <v>13849.99238385788</v>
      </c>
      <c r="N229" s="4">
        <f t="shared" si="18"/>
        <v>38.499923838578809</v>
      </c>
    </row>
    <row r="230" spans="1:14" x14ac:dyDescent="0.25">
      <c r="A230" s="3">
        <v>45940</v>
      </c>
      <c r="B230" t="s">
        <v>67</v>
      </c>
      <c r="C230" t="s">
        <v>18</v>
      </c>
      <c r="D230">
        <v>0.76817299999999999</v>
      </c>
      <c r="E230">
        <v>14.4390463035158</v>
      </c>
      <c r="G230" s="4">
        <f t="shared" si="16"/>
        <v>157.11096479024215</v>
      </c>
      <c r="H230" s="4">
        <f t="shared" si="15"/>
        <v>40.220406986301988</v>
      </c>
      <c r="I230" s="4"/>
      <c r="J230" s="4" cm="1">
        <f t="array" ref="J230">IF(C230="EXIT",0.083*_xlfn.XLOOKUP(1,(B$2:B229=B230)*(C$2:C229="ENTRY"),M$2:M229,,0,-1),"")</f>
        <v>1088.0979358864358</v>
      </c>
      <c r="K230" s="4"/>
      <c r="L230" s="4"/>
      <c r="M230" s="4">
        <f t="shared" si="17"/>
        <v>13966.882941661819</v>
      </c>
      <c r="N230" s="4">
        <f t="shared" si="18"/>
        <v>39.668829416618195</v>
      </c>
    </row>
    <row r="231" spans="1:14" x14ac:dyDescent="0.25">
      <c r="A231" s="3">
        <v>45940</v>
      </c>
      <c r="B231" t="s">
        <v>54</v>
      </c>
      <c r="C231" t="s">
        <v>6</v>
      </c>
      <c r="D231">
        <v>0.89163499999999996</v>
      </c>
      <c r="G231" s="4" t="str">
        <f t="shared" si="16"/>
        <v/>
      </c>
      <c r="H231" s="4" t="str">
        <f t="shared" si="15"/>
        <v/>
      </c>
      <c r="I231" s="4"/>
      <c r="J231" s="4" t="str" cm="1">
        <f t="array" ref="J231">IF(C231="EXIT",0.083*_xlfn.XLOOKUP(1,(B$2:B230=B231)*(C$2:C230="ENTRY"),M$2:M230,,0,-1),"")</f>
        <v/>
      </c>
      <c r="K231" s="4"/>
      <c r="L231" s="4"/>
      <c r="M231" s="4">
        <f t="shared" si="17"/>
        <v>13966.882941661819</v>
      </c>
      <c r="N231" s="4">
        <f t="shared" si="18"/>
        <v>39.668829416618195</v>
      </c>
    </row>
    <row r="232" spans="1:14" x14ac:dyDescent="0.25">
      <c r="A232" s="3">
        <v>45961</v>
      </c>
      <c r="B232" t="s">
        <v>58</v>
      </c>
      <c r="C232" t="s">
        <v>18</v>
      </c>
      <c r="D232">
        <v>0.77942299999999998</v>
      </c>
      <c r="E232">
        <v>48.407236975056243</v>
      </c>
      <c r="G232" s="4">
        <f t="shared" si="16"/>
        <v>460.31505192164531</v>
      </c>
      <c r="H232" s="4">
        <f t="shared" si="15"/>
        <v>117.84065329194119</v>
      </c>
      <c r="I232" s="4"/>
      <c r="J232" s="4" cm="1">
        <f t="array" ref="J232">IF(C232="EXIT",0.083*_xlfn.XLOOKUP(1,(B$2:B231=B232)*(C$2:C231="ENTRY"),M$2:M231,,0,-1),"")</f>
        <v>950.92197094174367</v>
      </c>
      <c r="K232" s="4"/>
      <c r="L232" s="4"/>
      <c r="M232" s="4">
        <f t="shared" si="17"/>
        <v>14309.357340291523</v>
      </c>
      <c r="N232" s="4">
        <f t="shared" si="18"/>
        <v>43.09357340291524</v>
      </c>
    </row>
    <row r="233" spans="1:14" x14ac:dyDescent="0.25">
      <c r="A233" s="3">
        <v>45961</v>
      </c>
      <c r="B233" t="s">
        <v>56</v>
      </c>
      <c r="C233" t="s">
        <v>6</v>
      </c>
      <c r="D233">
        <v>0.91788499999999995</v>
      </c>
      <c r="G233" s="4" t="str">
        <f t="shared" si="16"/>
        <v/>
      </c>
      <c r="H233" s="4" t="str">
        <f t="shared" si="15"/>
        <v/>
      </c>
      <c r="I233" s="4"/>
      <c r="J233" s="4" t="str" cm="1">
        <f t="array" ref="J233">IF(C233="EXIT",0.083*_xlfn.XLOOKUP(1,(B$2:B232=B233)*(C$2:C232="ENTRY"),M$2:M232,,0,-1),"")</f>
        <v/>
      </c>
      <c r="K233" s="4"/>
      <c r="L233" s="4"/>
      <c r="M233" s="4">
        <f t="shared" si="17"/>
        <v>14309.357340291523</v>
      </c>
      <c r="N233" s="4">
        <f t="shared" si="18"/>
        <v>43.09357340291524</v>
      </c>
    </row>
    <row r="234" spans="1:14" x14ac:dyDescent="0.25">
      <c r="A234" s="3">
        <v>45975</v>
      </c>
      <c r="B234" t="s">
        <v>17</v>
      </c>
      <c r="C234" t="s">
        <v>6</v>
      </c>
      <c r="D234">
        <v>0.929423</v>
      </c>
      <c r="G234" s="4" t="str">
        <f t="shared" si="16"/>
        <v/>
      </c>
      <c r="H234" s="4" t="str">
        <f t="shared" si="15"/>
        <v/>
      </c>
      <c r="I234" s="4"/>
      <c r="J234" s="4" t="str" cm="1">
        <f t="array" ref="J234">IF(C234="EXIT",0.083*_xlfn.XLOOKUP(1,(B$2:B233=B234)*(C$2:C233="ENTRY"),M$2:M233,,0,-1),"")</f>
        <v/>
      </c>
      <c r="K234" s="4"/>
      <c r="L234" s="4"/>
      <c r="M234" s="4">
        <f t="shared" si="17"/>
        <v>14309.357340291523</v>
      </c>
      <c r="N234" s="4">
        <f t="shared" si="18"/>
        <v>43.09357340291524</v>
      </c>
    </row>
    <row r="235" spans="1:14" x14ac:dyDescent="0.25">
      <c r="A235" s="3">
        <v>45975</v>
      </c>
      <c r="B235" t="s">
        <v>79</v>
      </c>
      <c r="C235" t="s">
        <v>6</v>
      </c>
      <c r="D235">
        <v>0.94076899999999997</v>
      </c>
      <c r="G235" s="4" t="str">
        <f t="shared" si="16"/>
        <v/>
      </c>
      <c r="H235" s="4" t="str">
        <f t="shared" si="15"/>
        <v/>
      </c>
      <c r="I235" s="4"/>
      <c r="J235" s="4" t="str" cm="1">
        <f t="array" ref="J235">IF(C235="EXIT",0.083*_xlfn.XLOOKUP(1,(B$2:B234=B235)*(C$2:C234="ENTRY"),M$2:M234,,0,-1),"")</f>
        <v/>
      </c>
      <c r="K235" s="4"/>
      <c r="L235" s="4"/>
      <c r="M235" s="4">
        <f t="shared" si="17"/>
        <v>14309.357340291523</v>
      </c>
      <c r="N235" s="4">
        <f t="shared" si="18"/>
        <v>43.09357340291524</v>
      </c>
    </row>
    <row r="236" spans="1:14" x14ac:dyDescent="0.25">
      <c r="A236" s="3">
        <v>45975</v>
      </c>
      <c r="B236" t="s">
        <v>36</v>
      </c>
      <c r="C236" t="s">
        <v>18</v>
      </c>
      <c r="D236">
        <v>0.76605800000000002</v>
      </c>
      <c r="E236">
        <v>-2.3862090165460148</v>
      </c>
      <c r="G236" s="4">
        <f t="shared" si="16"/>
        <v>-26.286348735524861</v>
      </c>
      <c r="H236" s="4">
        <f t="shared" si="15"/>
        <v>-6.7293052762943644</v>
      </c>
      <c r="I236" s="4"/>
      <c r="J236" s="4" cm="1">
        <f t="array" ref="J236">IF(C236="EXIT",0.083*_xlfn.XLOOKUP(1,(B$2:B235=B236)*(C$2:C235="ENTRY"),M$2:M235,,0,-1),"")</f>
        <v>1101.5945607972671</v>
      </c>
      <c r="K236" s="4"/>
      <c r="L236" s="4"/>
      <c r="M236" s="4">
        <f t="shared" si="17"/>
        <v>14289.800296832293</v>
      </c>
      <c r="N236" s="4">
        <f t="shared" si="18"/>
        <v>42.898002968322942</v>
      </c>
    </row>
    <row r="237" spans="1:14" x14ac:dyDescent="0.25">
      <c r="A237" s="3">
        <v>45975</v>
      </c>
      <c r="B237" t="s">
        <v>71</v>
      </c>
      <c r="C237" t="s">
        <v>18</v>
      </c>
      <c r="E237">
        <v>-5.9279206348406221</v>
      </c>
      <c r="G237" s="4">
        <f t="shared" si="16"/>
        <v>-68.144374185064962</v>
      </c>
      <c r="H237" s="4">
        <f t="shared" si="15"/>
        <v>-17.444959791376629</v>
      </c>
      <c r="I237" s="4"/>
      <c r="J237" s="4" cm="1">
        <f t="array" ref="J237">IF(C237="EXIT",0.083*_xlfn.XLOOKUP(1,(B$2:B236=B237)*(C$2:C236="ENTRY"),M$2:M236,,0,-1),"")</f>
        <v>1149.549367860204</v>
      </c>
      <c r="K237" s="4"/>
      <c r="L237" s="4"/>
      <c r="M237" s="4">
        <f t="shared" si="17"/>
        <v>14239.100882438604</v>
      </c>
      <c r="N237" s="4">
        <f t="shared" si="18"/>
        <v>42.391008824386034</v>
      </c>
    </row>
    <row r="238" spans="1:14" x14ac:dyDescent="0.25">
      <c r="A238" s="3">
        <v>45982</v>
      </c>
      <c r="B238" t="s">
        <v>55</v>
      </c>
      <c r="C238" t="s">
        <v>18</v>
      </c>
      <c r="E238">
        <v>-8.9220074026474698</v>
      </c>
      <c r="G238" s="4">
        <f t="shared" si="16"/>
        <v>-96.976741636468475</v>
      </c>
      <c r="H238" s="4">
        <f t="shared" si="15"/>
        <v>-24.826045858935931</v>
      </c>
      <c r="I238" s="4"/>
      <c r="J238" s="4" cm="1">
        <f t="array" ref="J238">IF(C238="EXIT",0.083*_xlfn.XLOOKUP(1,(B$2:B237=B238)*(C$2:C237="ENTRY"),M$2:M237,,0,-1),"")</f>
        <v>1086.9385919551255</v>
      </c>
      <c r="K238" s="4"/>
      <c r="L238" s="4"/>
      <c r="M238" s="4">
        <f t="shared" si="17"/>
        <v>14166.950186661072</v>
      </c>
      <c r="N238" s="4">
        <f t="shared" si="18"/>
        <v>41.669501866610716</v>
      </c>
    </row>
    <row r="239" spans="1:14" x14ac:dyDescent="0.25">
      <c r="A239" s="3">
        <v>45982</v>
      </c>
      <c r="B239" t="s">
        <v>30</v>
      </c>
      <c r="C239" t="s">
        <v>18</v>
      </c>
      <c r="E239">
        <v>2.97610482694548</v>
      </c>
      <c r="G239" s="4">
        <f t="shared" si="16"/>
        <v>32.671721518942945</v>
      </c>
      <c r="H239" s="4">
        <f t="shared" si="15"/>
        <v>8.3639607088493939</v>
      </c>
      <c r="I239" s="4"/>
      <c r="J239" s="4" cm="1">
        <f t="array" ref="J239">IF(C239="EXIT",0.083*_xlfn.XLOOKUP(1,(B$2:B238=B239)*(C$2:C238="ENTRY"),M$2:M238,,0,-1),"")</f>
        <v>1097.8014357268291</v>
      </c>
      <c r="K239" s="4"/>
      <c r="L239" s="4"/>
      <c r="M239" s="4">
        <f t="shared" si="17"/>
        <v>14191.257947471166</v>
      </c>
      <c r="N239" s="4">
        <f t="shared" si="18"/>
        <v>41.912579474711663</v>
      </c>
    </row>
    <row r="240" spans="1:14" x14ac:dyDescent="0.25">
      <c r="A240" s="3">
        <v>45982</v>
      </c>
      <c r="B240" t="s">
        <v>80</v>
      </c>
      <c r="C240" t="s">
        <v>6</v>
      </c>
      <c r="D240">
        <v>0.95115400000000005</v>
      </c>
      <c r="G240" s="4" t="str">
        <f t="shared" si="16"/>
        <v/>
      </c>
      <c r="H240" s="4" t="str">
        <f t="shared" si="15"/>
        <v/>
      </c>
      <c r="I240" s="4"/>
      <c r="J240" s="4" t="str" cm="1">
        <f t="array" ref="J240">IF(C240="EXIT",0.083*_xlfn.XLOOKUP(1,(B$2:B239=B240)*(C$2:C239="ENTRY"),M$2:M239,,0,-1),"")</f>
        <v/>
      </c>
      <c r="K240" s="4"/>
      <c r="L240" s="4"/>
      <c r="M240" s="4">
        <f t="shared" si="17"/>
        <v>14191.257947471166</v>
      </c>
      <c r="N240" s="4">
        <f t="shared" si="18"/>
        <v>41.912579474711663</v>
      </c>
    </row>
    <row r="241" spans="1:14" x14ac:dyDescent="0.25">
      <c r="A241" s="3">
        <v>45982</v>
      </c>
      <c r="B241" t="s">
        <v>34</v>
      </c>
      <c r="C241" t="s">
        <v>6</v>
      </c>
      <c r="D241">
        <v>0.94384599999999996</v>
      </c>
      <c r="G241" s="4" t="str">
        <f t="shared" si="16"/>
        <v/>
      </c>
      <c r="H241" s="4" t="str">
        <f t="shared" si="15"/>
        <v/>
      </c>
      <c r="I241" s="4"/>
      <c r="J241" s="4" t="str" cm="1">
        <f t="array" ref="J241">IF(C241="EXIT",0.083*_xlfn.XLOOKUP(1,(B$2:B240=B241)*(C$2:C240="ENTRY"),M$2:M240,,0,-1),"")</f>
        <v/>
      </c>
      <c r="K241" s="4"/>
      <c r="L241" s="4"/>
      <c r="M241" s="4">
        <f t="shared" si="17"/>
        <v>14191.257947471166</v>
      </c>
      <c r="N241" s="4">
        <f t="shared" si="18"/>
        <v>41.912579474711663</v>
      </c>
    </row>
    <row r="242" spans="1:14" x14ac:dyDescent="0.25">
      <c r="A242" s="3">
        <v>46002</v>
      </c>
      <c r="B242" t="s">
        <v>17</v>
      </c>
      <c r="C242" t="s">
        <v>18</v>
      </c>
      <c r="E242">
        <v>10.04575508064001</v>
      </c>
      <c r="G242" s="4">
        <f t="shared" si="16"/>
        <v>119.3110883375994</v>
      </c>
      <c r="H242" s="4">
        <f t="shared" si="15"/>
        <v>30.543638614425447</v>
      </c>
      <c r="I242" s="4"/>
      <c r="J242" s="4" cm="1">
        <f t="array" ref="J242">IF(C242="EXIT",0.083*_xlfn.XLOOKUP(1,(B$2:B241=B242)*(C$2:C241="ENTRY"),M$2:M241,,0,-1),"")</f>
        <v>1187.6766592441963</v>
      </c>
      <c r="K242" s="4"/>
      <c r="L242" s="4"/>
      <c r="M242" s="4">
        <f t="shared" si="17"/>
        <v>14280.02539719434</v>
      </c>
      <c r="N242" s="4">
        <f t="shared" si="18"/>
        <v>42.80025397194342</v>
      </c>
    </row>
    <row r="243" spans="1:14" x14ac:dyDescent="0.25">
      <c r="A243" s="3">
        <v>46002</v>
      </c>
      <c r="B243" t="s">
        <v>79</v>
      </c>
      <c r="C243" t="s">
        <v>18</v>
      </c>
      <c r="E243">
        <v>13.105301430196731</v>
      </c>
      <c r="G243" s="4">
        <f t="shared" si="16"/>
        <v>155.64860621004243</v>
      </c>
      <c r="H243" s="4">
        <f t="shared" si="15"/>
        <v>39.84604318977086</v>
      </c>
      <c r="I243" s="4"/>
      <c r="J243" s="4" cm="1">
        <f t="array" ref="J243">IF(C243="EXIT",0.083*_xlfn.XLOOKUP(1,(B$2:B242=B243)*(C$2:C242="ENTRY"),M$2:M242,,0,-1),"")</f>
        <v>1187.6766592441963</v>
      </c>
      <c r="K243" s="4"/>
      <c r="L243" s="4"/>
      <c r="M243" s="4">
        <f t="shared" si="17"/>
        <v>14395.827960214612</v>
      </c>
      <c r="N243" s="4">
        <f t="shared" si="18"/>
        <v>43.958279602146121</v>
      </c>
    </row>
    <row r="244" spans="1:14" x14ac:dyDescent="0.25">
      <c r="A244" s="3">
        <v>46002</v>
      </c>
      <c r="B244" t="s">
        <v>56</v>
      </c>
      <c r="C244" t="s">
        <v>18</v>
      </c>
      <c r="E244">
        <v>-13.54443350880663</v>
      </c>
      <c r="G244" s="4">
        <f t="shared" si="16"/>
        <v>-160.86407541094607</v>
      </c>
      <c r="H244" s="4">
        <f t="shared" si="15"/>
        <v>-41.181203305202196</v>
      </c>
      <c r="I244" s="4"/>
      <c r="J244" s="4" cm="1">
        <f t="array" ref="J244">IF(C244="EXIT",0.083*_xlfn.XLOOKUP(1,(B$2:B243=B244)*(C$2:C243="ENTRY"),M$2:M243,,0,-1),"")</f>
        <v>1187.6766592441963</v>
      </c>
      <c r="K244" s="4"/>
      <c r="L244" s="4"/>
      <c r="M244" s="4">
        <f t="shared" si="17"/>
        <v>14276.145088108869</v>
      </c>
      <c r="N244" s="4">
        <f t="shared" si="18"/>
        <v>42.761450881088706</v>
      </c>
    </row>
    <row r="245" spans="1:14" x14ac:dyDescent="0.25">
      <c r="A245" s="3">
        <v>46002</v>
      </c>
      <c r="B245" t="s">
        <v>54</v>
      </c>
      <c r="C245" t="s">
        <v>18</v>
      </c>
      <c r="E245">
        <v>8.6334877147760114</v>
      </c>
      <c r="G245" s="4">
        <f t="shared" si="16"/>
        <v>100.08381720115813</v>
      </c>
      <c r="H245" s="4">
        <f t="shared" si="15"/>
        <v>25.62145720349648</v>
      </c>
      <c r="I245" s="4"/>
      <c r="J245" s="4" cm="1">
        <f t="array" ref="J245">IF(C245="EXIT",0.083*_xlfn.XLOOKUP(1,(B$2:B244=B245)*(C$2:C244="ENTRY"),M$2:M244,,0,-1),"")</f>
        <v>1159.251284157931</v>
      </c>
      <c r="K245" s="4"/>
      <c r="L245" s="4"/>
      <c r="M245" s="4">
        <f t="shared" si="17"/>
        <v>14350.607448106532</v>
      </c>
      <c r="N245" s="4">
        <f t="shared" si="18"/>
        <v>43.506074481065326</v>
      </c>
    </row>
    <row r="246" spans="1:14" x14ac:dyDescent="0.25">
      <c r="A246" s="3">
        <v>46002</v>
      </c>
      <c r="B246" t="s">
        <v>40</v>
      </c>
      <c r="C246" t="s">
        <v>18</v>
      </c>
      <c r="E246">
        <v>15.89586396282303</v>
      </c>
      <c r="G246" s="4">
        <f t="shared" si="16"/>
        <v>182.73080370055013</v>
      </c>
      <c r="H246" s="4">
        <f t="shared" si="15"/>
        <v>46.779085747340837</v>
      </c>
      <c r="I246" s="4"/>
      <c r="J246" s="4" cm="1">
        <f t="array" ref="J246">IF(C246="EXIT",0.083*_xlfn.XLOOKUP(1,(B$2:B245=B246)*(C$2:C245="ENTRY"),M$2:M245,,0,-1),"")</f>
        <v>1149.549367860204</v>
      </c>
      <c r="K246" s="4"/>
      <c r="L246" s="4"/>
      <c r="M246" s="4">
        <f t="shared" si="17"/>
        <v>14486.55916605974</v>
      </c>
      <c r="N246" s="4">
        <f t="shared" si="18"/>
        <v>44.865591660597403</v>
      </c>
    </row>
    <row r="247" spans="1:14" x14ac:dyDescent="0.25">
      <c r="A247" s="3">
        <v>46002</v>
      </c>
      <c r="B247" t="s">
        <v>44</v>
      </c>
      <c r="C247" t="s">
        <v>18</v>
      </c>
      <c r="E247">
        <v>49.810899925821481</v>
      </c>
      <c r="G247" s="4">
        <f t="shared" si="16"/>
        <v>545.1477951217197</v>
      </c>
      <c r="H247" s="4">
        <f t="shared" si="15"/>
        <v>139.55783555116025</v>
      </c>
      <c r="I247" s="4"/>
      <c r="J247" s="4" cm="1">
        <f t="array" ref="J247">IF(C247="EXIT",0.083*_xlfn.XLOOKUP(1,(B$2:B246=B247)*(C$2:C246="ENTRY"),M$2:M246,,0,-1),"")</f>
        <v>1094.4347440691799</v>
      </c>
      <c r="K247" s="4"/>
      <c r="L247" s="4"/>
      <c r="M247" s="4">
        <f t="shared" si="17"/>
        <v>14892.1491256303</v>
      </c>
      <c r="N247" s="4">
        <f t="shared" si="18"/>
        <v>48.921491256303</v>
      </c>
    </row>
    <row r="248" spans="1:14" x14ac:dyDescent="0.25">
      <c r="A248" s="3">
        <v>46002</v>
      </c>
      <c r="B248" t="s">
        <v>78</v>
      </c>
      <c r="C248" t="s">
        <v>18</v>
      </c>
      <c r="E248">
        <v>52.560785760542203</v>
      </c>
      <c r="G248" s="4">
        <f t="shared" si="16"/>
        <v>573.14905025879409</v>
      </c>
      <c r="H248" s="4">
        <f t="shared" si="15"/>
        <v>146.7261568662513</v>
      </c>
      <c r="I248" s="4"/>
      <c r="J248" s="4" cm="1">
        <f t="array" ref="J248">IF(C248="EXIT",0.083*_xlfn.XLOOKUP(1,(B$2:B247=B248)*(C$2:C247="ENTRY"),M$2:M247,,0,-1),"")</f>
        <v>1090.4499275752107</v>
      </c>
      <c r="K248" s="4"/>
      <c r="L248" s="4"/>
      <c r="M248" s="4">
        <f t="shared" si="17"/>
        <v>15318.572019022844</v>
      </c>
      <c r="N248" s="4">
        <f t="shared" si="18"/>
        <v>53.185720190228437</v>
      </c>
    </row>
    <row r="249" spans="1:14" x14ac:dyDescent="0.25">
      <c r="A249" s="3">
        <v>46002</v>
      </c>
      <c r="B249" t="s">
        <v>37</v>
      </c>
      <c r="C249" t="s">
        <v>18</v>
      </c>
      <c r="E249">
        <v>78.394704720825459</v>
      </c>
      <c r="G249" s="4">
        <f t="shared" si="16"/>
        <v>852.10229965991857</v>
      </c>
      <c r="H249" s="4">
        <f t="shared" si="15"/>
        <v>218.13818871293915</v>
      </c>
      <c r="I249" s="4"/>
      <c r="J249" s="4" cm="1">
        <f t="array" ref="J249">IF(C249="EXIT",0.083*_xlfn.XLOOKUP(1,(B$2:B248=B249)*(C$2:C248="ENTRY"),M$2:M248,,0,-1),"")</f>
        <v>1086.9385919551255</v>
      </c>
      <c r="K249" s="4"/>
      <c r="L249" s="4"/>
      <c r="M249" s="4">
        <f t="shared" si="17"/>
        <v>15952.536129969823</v>
      </c>
      <c r="N249" s="4">
        <f t="shared" si="18"/>
        <v>59.525361299698233</v>
      </c>
    </row>
    <row r="250" spans="1:14" x14ac:dyDescent="0.25">
      <c r="A250" s="3">
        <v>46002</v>
      </c>
      <c r="B250" t="s">
        <v>69</v>
      </c>
      <c r="C250" t="s">
        <v>18</v>
      </c>
      <c r="E250">
        <v>134.7477715845782</v>
      </c>
      <c r="G250" s="4">
        <f t="shared" si="16"/>
        <v>1337.6636959210236</v>
      </c>
      <c r="H250" s="4">
        <f t="shared" si="15"/>
        <v>342.44190615578208</v>
      </c>
      <c r="I250" s="4"/>
      <c r="J250" s="4" cm="1">
        <f t="array" ref="J250">IF(C250="EXIT",0.083*_xlfn.XLOOKUP(1,(B$2:B249=B250)*(C$2:C249="ENTRY"),M$2:M249,,0,-1),"")</f>
        <v>992.71674788432529</v>
      </c>
      <c r="K250" s="4"/>
      <c r="L250" s="4"/>
      <c r="M250" s="4">
        <f t="shared" si="17"/>
        <v>16947.757919735064</v>
      </c>
      <c r="N250" s="4">
        <f t="shared" si="18"/>
        <v>69.47757919735065</v>
      </c>
    </row>
    <row r="251" spans="1:14" x14ac:dyDescent="0.25">
      <c r="A251" s="3">
        <v>46002</v>
      </c>
      <c r="B251" t="s">
        <v>80</v>
      </c>
      <c r="C251" t="s">
        <v>18</v>
      </c>
      <c r="E251">
        <v>4.7571120554140478</v>
      </c>
      <c r="G251" s="4">
        <f t="shared" si="16"/>
        <v>56.032805538626555</v>
      </c>
      <c r="H251" s="4">
        <f t="shared" si="15"/>
        <v>14.344398217888399</v>
      </c>
      <c r="I251" s="4"/>
      <c r="J251" s="4" cm="1">
        <f t="array" ref="J251">IF(C251="EXIT",0.083*_xlfn.XLOOKUP(1,(B$2:B250=B251)*(C$2:C250="ENTRY"),M$2:M250,,0,-1),"")</f>
        <v>1177.8744096401067</v>
      </c>
      <c r="K251" s="4"/>
      <c r="L251" s="4"/>
      <c r="M251" s="4">
        <f t="shared" si="17"/>
        <v>16989.446327055804</v>
      </c>
      <c r="N251" s="4">
        <f t="shared" si="18"/>
        <v>69.894463270558049</v>
      </c>
    </row>
    <row r="252" spans="1:14" x14ac:dyDescent="0.25">
      <c r="A252" s="3">
        <v>46002</v>
      </c>
      <c r="B252" t="s">
        <v>61</v>
      </c>
      <c r="C252" t="s">
        <v>18</v>
      </c>
      <c r="E252">
        <v>37.6031458954849</v>
      </c>
      <c r="G252" s="4">
        <f t="shared" si="16"/>
        <v>432.26672593709691</v>
      </c>
      <c r="H252" s="4">
        <f t="shared" si="15"/>
        <v>110.66028183989681</v>
      </c>
      <c r="I252" s="4"/>
      <c r="J252" s="4" cm="1">
        <f t="array" ref="J252">IF(C252="EXIT",0.083*_xlfn.XLOOKUP(1,(B$2:B251=B252)*(C$2:C251="ENTRY"),M$2:M251,,0,-1),"")</f>
        <v>1149.549367860204</v>
      </c>
      <c r="K252" s="4"/>
      <c r="L252" s="4"/>
      <c r="M252" s="4">
        <f t="shared" si="17"/>
        <v>17311.052771153005</v>
      </c>
      <c r="N252" s="4">
        <f t="shared" si="18"/>
        <v>73.11052771153004</v>
      </c>
    </row>
    <row r="253" spans="1:14" x14ac:dyDescent="0.25">
      <c r="A253" s="3">
        <v>46002</v>
      </c>
      <c r="B253" t="s">
        <v>34</v>
      </c>
      <c r="C253" t="s">
        <v>18</v>
      </c>
      <c r="E253">
        <v>-2.536123462360218</v>
      </c>
      <c r="G253" s="4">
        <f t="shared" si="16"/>
        <v>-29.87234926001965</v>
      </c>
      <c r="H253" s="4">
        <f t="shared" si="15"/>
        <v>-7.6473214105650307</v>
      </c>
      <c r="I253" s="4"/>
      <c r="J253" s="4" cm="1">
        <f t="array" ref="J253">IF(C253="EXIT",0.083*_xlfn.XLOOKUP(1,(B$2:B252=B253)*(C$2:C252="ENTRY"),M$2:M252,,0,-1),"")</f>
        <v>1177.8744096401067</v>
      </c>
      <c r="K253" s="4"/>
      <c r="L253" s="4"/>
      <c r="M253" s="4">
        <f t="shared" si="17"/>
        <v>17288.827743303551</v>
      </c>
      <c r="N253" s="4">
        <f t="shared" si="18"/>
        <v>72.888277433035512</v>
      </c>
    </row>
  </sheetData>
  <conditionalFormatting sqref="E1:E1048576">
    <cfRule type="top10" dxfId="0" priority="2" rank="10"/>
    <cfRule type="top10" dxfId="1" priority="1" bottom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TradeEvents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Pagalies</cp:lastModifiedBy>
  <dcterms:created xsi:type="dcterms:W3CDTF">2025-12-12T14:10:59Z</dcterms:created>
  <dcterms:modified xsi:type="dcterms:W3CDTF">2025-12-12T14:30:25Z</dcterms:modified>
</cp:coreProperties>
</file>